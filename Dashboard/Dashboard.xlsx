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slicers/slicer1.xml" ContentType="application/vnd.ms-excel.slicer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space\Data Scientist\Portafolio\servicios_cul_soci_depor_recre\Dashboard\"/>
    </mc:Choice>
  </mc:AlternateContent>
  <xr:revisionPtr revIDLastSave="0" documentId="13_ncr:1_{8AF6A3BD-4969-4520-98CC-E729C3505218}" xr6:coauthVersionLast="47" xr6:coauthVersionMax="47" xr10:uidLastSave="{00000000-0000-0000-0000-000000000000}"/>
  <bookViews>
    <workbookView xWindow="-28908" yWindow="-108" windowWidth="29016" windowHeight="15816" firstSheet="1" activeTab="6" xr2:uid="{0F6DE12B-782F-43E4-BCEE-D62EF1718F31}"/>
  </bookViews>
  <sheets>
    <sheet name="servicios_cult_soc_dep_rec_isss" sheetId="1" r:id="rId1"/>
    <sheet name="Servios deportivos por año" sheetId="2" r:id="rId2"/>
    <sheet name="Comp entre cul vs dep vs soc" sheetId="3" r:id="rId3"/>
    <sheet name="Ranking de delegaciones" sheetId="4" r:id="rId4"/>
    <sheet name="Ranking de Servicios" sheetId="6" r:id="rId5"/>
    <sheet name="KPI's" sheetId="5" r:id="rId6"/>
    <sheet name="Dasboard" sheetId="7" r:id="rId7"/>
  </sheets>
  <definedNames>
    <definedName name="SegmentaciónDeDatos_Año">#N/A</definedName>
    <definedName name="SegmentaciónDeDatos_Oficina_Representación">#N/A</definedName>
  </definedNames>
  <calcPr calcId="191029"/>
  <pivotCaches>
    <pivotCache cacheId="19" r:id="rId8"/>
    <pivotCache cacheId="1" r:id="rId9"/>
  </pivotCaches>
  <extLst>
    <ext xmlns:x14="http://schemas.microsoft.com/office/spreadsheetml/2009/9/main" uri="{BBE1A952-AA13-448e-AADC-164F8A28A991}">
      <x14:slicerCaches>
        <x14:slicerCache r:id="rId10"/>
        <x14:slicerCache r:id="rId11"/>
      </x14:slicerCaches>
    </ext>
    <ext xmlns:x14="http://schemas.microsoft.com/office/spreadsheetml/2009/9/main" uri="{79F54976-1DA5-4618-B147-4CDE4B953A38}">
      <x14:workbookPr/>
    </ext>
  </extLst>
</workbook>
</file>

<file path=xl/calcChain.xml><?xml version="1.0" encoding="utf-8"?>
<calcChain xmlns="http://schemas.openxmlformats.org/spreadsheetml/2006/main">
  <c r="A28" i="4" l="1"/>
  <c r="B28" i="4"/>
  <c r="E82" i="4"/>
  <c r="D8" i="6" l="1"/>
  <c r="C499" i="1"/>
  <c r="C513" i="1"/>
  <c r="B513" i="1"/>
  <c r="C512" i="1"/>
  <c r="B512" i="1"/>
  <c r="C511" i="1"/>
  <c r="B511" i="1"/>
  <c r="C510" i="1"/>
  <c r="B510" i="1"/>
  <c r="C509" i="1"/>
  <c r="B509" i="1"/>
  <c r="C508" i="1"/>
  <c r="B508" i="1"/>
  <c r="C507" i="1"/>
  <c r="B507" i="1"/>
  <c r="C506" i="1"/>
  <c r="B506" i="1"/>
  <c r="C498" i="1"/>
  <c r="D498" i="1"/>
  <c r="E498" i="1"/>
  <c r="F498" i="1"/>
  <c r="G498" i="1"/>
  <c r="H498" i="1"/>
  <c r="I498" i="1"/>
  <c r="J498" i="1"/>
  <c r="D499" i="1"/>
  <c r="E499" i="1"/>
  <c r="F499" i="1"/>
  <c r="G499" i="1"/>
  <c r="H499" i="1"/>
  <c r="I499" i="1"/>
  <c r="J499" i="1"/>
  <c r="D34" i="4"/>
  <c r="L203" i="1"/>
  <c r="L173" i="1"/>
  <c r="L249" i="1"/>
  <c r="L85" i="1"/>
  <c r="L70" i="1"/>
  <c r="L144" i="1"/>
  <c r="L140" i="1"/>
  <c r="L159" i="1"/>
  <c r="L103" i="1"/>
  <c r="L89" i="1"/>
  <c r="L201" i="1"/>
  <c r="L67" i="1"/>
  <c r="L169" i="1"/>
  <c r="L170" i="1"/>
  <c r="L235" i="1"/>
  <c r="L90" i="1"/>
  <c r="L108" i="1"/>
  <c r="L72" i="1"/>
  <c r="L17" i="1"/>
  <c r="L227" i="1"/>
  <c r="L183" i="1"/>
  <c r="L154" i="1"/>
  <c r="L45" i="1"/>
  <c r="L216" i="1"/>
  <c r="L205" i="1"/>
  <c r="L139" i="1"/>
  <c r="L272" i="1"/>
  <c r="L74" i="1"/>
  <c r="L179" i="1"/>
  <c r="L53" i="1"/>
  <c r="L49" i="1"/>
  <c r="L36" i="1"/>
  <c r="L32" i="1"/>
  <c r="L62" i="1"/>
  <c r="L26" i="1"/>
  <c r="L2" i="1"/>
  <c r="L219" i="1"/>
  <c r="L207" i="1"/>
  <c r="L243" i="1"/>
  <c r="L136" i="1"/>
  <c r="L231" i="1"/>
  <c r="L79" i="1"/>
  <c r="L118" i="1"/>
  <c r="L135" i="1"/>
  <c r="L270" i="1"/>
  <c r="L80" i="1"/>
  <c r="L143" i="1"/>
  <c r="L150" i="1"/>
  <c r="L200" i="1"/>
  <c r="L68" i="1"/>
  <c r="L168" i="1"/>
  <c r="L30" i="1"/>
  <c r="L51" i="1"/>
  <c r="L106" i="1"/>
  <c r="L105" i="1"/>
  <c r="L92" i="1"/>
  <c r="L13" i="1"/>
  <c r="L145" i="1"/>
  <c r="L195" i="1"/>
  <c r="L247" i="1"/>
  <c r="L18" i="1"/>
  <c r="L261" i="1"/>
  <c r="L192" i="1"/>
  <c r="L117" i="1"/>
  <c r="L265" i="1"/>
  <c r="L102" i="1"/>
  <c r="L152" i="1"/>
  <c r="L43" i="1"/>
  <c r="L48" i="1"/>
  <c r="L41" i="1"/>
  <c r="L46" i="1"/>
  <c r="L60" i="1"/>
  <c r="L23" i="1"/>
  <c r="L3" i="1"/>
  <c r="L204" i="1"/>
  <c r="L188" i="1"/>
  <c r="L226" i="1"/>
  <c r="L124" i="1"/>
  <c r="L238" i="1"/>
  <c r="L94" i="1"/>
  <c r="L98" i="1"/>
  <c r="L151" i="1"/>
  <c r="L232" i="1"/>
  <c r="L112" i="1"/>
  <c r="L101" i="1"/>
  <c r="L181" i="1"/>
  <c r="L217" i="1"/>
  <c r="L73" i="1"/>
  <c r="L134" i="1"/>
  <c r="L28" i="1"/>
  <c r="L77" i="1"/>
  <c r="L119" i="1"/>
  <c r="L114" i="1"/>
  <c r="L87" i="1"/>
  <c r="L12" i="1"/>
  <c r="L111" i="1"/>
  <c r="L180" i="1"/>
  <c r="L274" i="1"/>
  <c r="L14" i="1"/>
  <c r="L220" i="1"/>
  <c r="L211" i="1"/>
  <c r="L146" i="1"/>
  <c r="L236" i="1"/>
  <c r="L93" i="1"/>
  <c r="L166" i="1"/>
  <c r="L39" i="1"/>
  <c r="L47" i="1"/>
  <c r="L52" i="1"/>
  <c r="L15" i="1"/>
  <c r="L69" i="1"/>
  <c r="L35" i="1"/>
  <c r="L4" i="1"/>
  <c r="L233" i="1"/>
  <c r="L175" i="1"/>
  <c r="L283" i="1"/>
  <c r="L230" i="1"/>
  <c r="L298" i="1"/>
  <c r="L212" i="1"/>
  <c r="L156" i="1"/>
  <c r="L248" i="1"/>
  <c r="L246" i="1"/>
  <c r="L218" i="1"/>
  <c r="L221" i="1"/>
  <c r="L257" i="1"/>
  <c r="L284" i="1"/>
  <c r="L198" i="1"/>
  <c r="L149" i="1"/>
  <c r="L71" i="1"/>
  <c r="L280" i="1"/>
  <c r="L177" i="1"/>
  <c r="L240" i="1"/>
  <c r="L191" i="1"/>
  <c r="L31" i="1"/>
  <c r="L225" i="1"/>
  <c r="L245" i="1"/>
  <c r="L312" i="1"/>
  <c r="L78" i="1"/>
  <c r="L256" i="1"/>
  <c r="L199" i="1"/>
  <c r="L202" i="1"/>
  <c r="L294" i="1"/>
  <c r="L189" i="1"/>
  <c r="L253" i="1"/>
  <c r="L127" i="1"/>
  <c r="L161" i="1"/>
  <c r="L174" i="1"/>
  <c r="L91" i="1"/>
  <c r="L262" i="1"/>
  <c r="L129" i="1"/>
  <c r="L8" i="1"/>
  <c r="L269" i="1"/>
  <c r="L228" i="1"/>
  <c r="L222" i="1"/>
  <c r="L138" i="1"/>
  <c r="L241" i="1"/>
  <c r="L83" i="1"/>
  <c r="L63" i="1"/>
  <c r="L162" i="1"/>
  <c r="L137" i="1"/>
  <c r="L84" i="1"/>
  <c r="L88" i="1"/>
  <c r="L132" i="1"/>
  <c r="L224" i="1"/>
  <c r="L65" i="1"/>
  <c r="L97" i="1"/>
  <c r="L29" i="1"/>
  <c r="L158" i="1"/>
  <c r="L182" i="1"/>
  <c r="L186" i="1"/>
  <c r="L110" i="1"/>
  <c r="L11" i="1"/>
  <c r="L109" i="1"/>
  <c r="L147" i="1"/>
  <c r="L215" i="1"/>
  <c r="L25" i="1"/>
  <c r="L187" i="1"/>
  <c r="L122" i="1"/>
  <c r="L95" i="1"/>
  <c r="L260" i="1"/>
  <c r="L131" i="1"/>
  <c r="L141" i="1"/>
  <c r="L55" i="1"/>
  <c r="L40" i="1"/>
  <c r="L34" i="1"/>
  <c r="L38" i="1"/>
  <c r="L99" i="1"/>
  <c r="L24" i="1"/>
  <c r="L6" i="1"/>
  <c r="L239" i="1"/>
  <c r="L172" i="1"/>
  <c r="L264" i="1"/>
  <c r="L148" i="1"/>
  <c r="L254" i="1"/>
  <c r="L113" i="1"/>
  <c r="L56" i="1"/>
  <c r="L142" i="1"/>
  <c r="L178" i="1"/>
  <c r="L130" i="1"/>
  <c r="L76" i="1"/>
  <c r="L176" i="1"/>
  <c r="L214" i="1"/>
  <c r="L54" i="1"/>
  <c r="L100" i="1"/>
  <c r="L27" i="1"/>
  <c r="L209" i="1"/>
  <c r="L164" i="1"/>
  <c r="L165" i="1"/>
  <c r="L121" i="1"/>
  <c r="L10" i="1"/>
  <c r="L116" i="1"/>
  <c r="L153" i="1"/>
  <c r="L213" i="1"/>
  <c r="L20" i="1"/>
  <c r="L184" i="1"/>
  <c r="L128" i="1"/>
  <c r="L82" i="1"/>
  <c r="L263" i="1"/>
  <c r="L125" i="1"/>
  <c r="L155" i="1"/>
  <c r="L61" i="1"/>
  <c r="L44" i="1"/>
  <c r="L33" i="1"/>
  <c r="L50" i="1"/>
  <c r="L57" i="1"/>
  <c r="L21" i="1"/>
  <c r="L5" i="1"/>
  <c r="L252" i="1"/>
  <c r="L190" i="1"/>
  <c r="L268" i="1"/>
  <c r="L278" i="1"/>
  <c r="L208" i="1"/>
  <c r="L163" i="1"/>
  <c r="L58" i="1"/>
  <c r="L96" i="1"/>
  <c r="L157" i="1"/>
  <c r="L104" i="1"/>
  <c r="L75" i="1"/>
  <c r="L185" i="1"/>
  <c r="L206" i="1"/>
  <c r="L59" i="1"/>
  <c r="L133" i="1"/>
  <c r="L42" i="1"/>
  <c r="L64" i="1"/>
  <c r="L167" i="1"/>
  <c r="L126" i="1"/>
  <c r="L86" i="1"/>
  <c r="L9" i="1"/>
  <c r="L115" i="1"/>
  <c r="L210" i="1"/>
  <c r="L197" i="1"/>
  <c r="L16" i="1"/>
  <c r="L194" i="1"/>
  <c r="L193" i="1"/>
  <c r="L123" i="1"/>
  <c r="L255" i="1"/>
  <c r="L229" i="1"/>
  <c r="L171" i="1"/>
  <c r="L107" i="1"/>
  <c r="L37" i="1"/>
  <c r="L66" i="1"/>
  <c r="L19" i="1"/>
  <c r="L81" i="1"/>
  <c r="L22" i="1"/>
  <c r="L7" i="1"/>
  <c r="L223" i="1"/>
  <c r="L160" i="1"/>
  <c r="L302" i="1"/>
  <c r="L318" i="1"/>
  <c r="L281" i="1"/>
  <c r="L237" i="1"/>
  <c r="L277" i="1"/>
  <c r="L289" i="1"/>
  <c r="L295" i="1"/>
  <c r="L291" i="1"/>
  <c r="L290" i="1"/>
  <c r="L319" i="1"/>
  <c r="L314" i="1"/>
  <c r="L271" i="1"/>
  <c r="L282" i="1"/>
  <c r="L251" i="1"/>
  <c r="L288" i="1"/>
  <c r="L300" i="1"/>
  <c r="L279" i="1"/>
  <c r="L293" i="1"/>
  <c r="L266" i="1"/>
  <c r="L286" i="1"/>
  <c r="L330" i="1"/>
  <c r="L301" i="1"/>
  <c r="L244" i="1"/>
  <c r="L368" i="1"/>
  <c r="L341" i="1"/>
  <c r="L317" i="1"/>
  <c r="L303" i="1"/>
  <c r="L292" i="1"/>
  <c r="L296" i="1"/>
  <c r="L285" i="1"/>
  <c r="L275" i="1"/>
  <c r="L259" i="1"/>
  <c r="L234" i="1"/>
  <c r="L276" i="1"/>
  <c r="L267" i="1"/>
  <c r="L120" i="1"/>
  <c r="L491" i="1"/>
  <c r="L304" i="1"/>
  <c r="L470" i="1"/>
  <c r="L466" i="1"/>
  <c r="L489" i="1"/>
  <c r="L378" i="1"/>
  <c r="L358" i="1"/>
  <c r="L352" i="1"/>
  <c r="L436" i="1"/>
  <c r="L375" i="1"/>
  <c r="L426" i="1"/>
  <c r="L399" i="1"/>
  <c r="L420" i="1"/>
  <c r="L463" i="1"/>
  <c r="L379" i="1"/>
  <c r="L337" i="1"/>
  <c r="L339" i="1"/>
  <c r="L366" i="1"/>
  <c r="L449" i="1"/>
  <c r="L388" i="1"/>
  <c r="L453" i="1"/>
  <c r="L428" i="1"/>
  <c r="L458" i="1"/>
  <c r="L425" i="1"/>
  <c r="L432" i="1"/>
  <c r="L385" i="1"/>
  <c r="L492" i="1"/>
  <c r="L412" i="1"/>
  <c r="L490" i="1"/>
  <c r="L389" i="1"/>
  <c r="L407" i="1"/>
  <c r="L370" i="1"/>
  <c r="L406" i="1"/>
  <c r="L374" i="1"/>
  <c r="L313" i="1"/>
  <c r="L329" i="1"/>
  <c r="L351" i="1"/>
  <c r="L445" i="1"/>
  <c r="L493" i="1"/>
  <c r="L297" i="1"/>
  <c r="L373" i="1"/>
  <c r="L455" i="1"/>
  <c r="L447" i="1"/>
  <c r="L377" i="1"/>
  <c r="L355" i="1"/>
  <c r="L311" i="1"/>
  <c r="L414" i="1"/>
  <c r="L321" i="1"/>
  <c r="L410" i="1"/>
  <c r="L299" i="1"/>
  <c r="L372" i="1"/>
  <c r="L474" i="1"/>
  <c r="L349" i="1"/>
  <c r="L418" i="1"/>
  <c r="L327" i="1"/>
  <c r="L363" i="1"/>
  <c r="L423" i="1"/>
  <c r="L381" i="1"/>
  <c r="L427" i="1"/>
  <c r="L408" i="1"/>
  <c r="L439" i="1"/>
  <c r="L431" i="1"/>
  <c r="L416" i="1"/>
  <c r="L332" i="1"/>
  <c r="L482" i="1"/>
  <c r="L393" i="1"/>
  <c r="L485" i="1"/>
  <c r="L397" i="1"/>
  <c r="L334" i="1"/>
  <c r="L335" i="1"/>
  <c r="L346" i="1"/>
  <c r="L322" i="1"/>
  <c r="L309" i="1"/>
  <c r="L306" i="1"/>
  <c r="L354" i="1"/>
  <c r="L338" i="1"/>
  <c r="L287" i="1"/>
  <c r="L242" i="1"/>
  <c r="L359" i="1"/>
  <c r="L429" i="1"/>
  <c r="L467" i="1"/>
  <c r="L348" i="1"/>
  <c r="L357" i="1"/>
  <c r="L328" i="1"/>
  <c r="L402" i="1"/>
  <c r="L369" i="1"/>
  <c r="L394" i="1"/>
  <c r="L315" i="1"/>
  <c r="L384" i="1"/>
  <c r="L477" i="1"/>
  <c r="L353" i="1"/>
  <c r="L417" i="1"/>
  <c r="L323" i="1"/>
  <c r="L350" i="1"/>
  <c r="L415" i="1"/>
  <c r="L401" i="1"/>
  <c r="L400" i="1"/>
  <c r="L390" i="1"/>
  <c r="L438" i="1"/>
  <c r="L440" i="1"/>
  <c r="L411" i="1"/>
  <c r="L325" i="1"/>
  <c r="L475" i="1"/>
  <c r="L391" i="1"/>
  <c r="L484" i="1"/>
  <c r="L437" i="1"/>
  <c r="L367" i="1"/>
  <c r="L324" i="1"/>
  <c r="L376" i="1"/>
  <c r="L307" i="1"/>
  <c r="L310" i="1"/>
  <c r="L336" i="1"/>
  <c r="L331" i="1"/>
  <c r="L356" i="1"/>
  <c r="L258" i="1"/>
  <c r="L196" i="1"/>
  <c r="L362" i="1"/>
  <c r="L435" i="1"/>
  <c r="L434" i="1"/>
  <c r="L345" i="1"/>
  <c r="L398" i="1"/>
  <c r="L371" i="1"/>
  <c r="L364" i="1"/>
  <c r="L450" i="1"/>
  <c r="L387" i="1"/>
  <c r="L403" i="1"/>
  <c r="L444" i="1"/>
  <c r="L343" i="1"/>
  <c r="L404" i="1"/>
  <c r="L316" i="1"/>
  <c r="L326" i="1"/>
  <c r="L344" i="1"/>
  <c r="L424" i="1"/>
  <c r="L396" i="1"/>
  <c r="L382" i="1"/>
  <c r="L380" i="1"/>
  <c r="L433" i="1"/>
  <c r="L448" i="1"/>
  <c r="L405" i="1"/>
  <c r="L320" i="1"/>
  <c r="L454" i="1"/>
  <c r="L392" i="1"/>
  <c r="L483" i="1"/>
  <c r="L451" i="1"/>
  <c r="L360" i="1"/>
  <c r="L333" i="1"/>
  <c r="L365" i="1"/>
  <c r="L305" i="1"/>
  <c r="L308" i="1"/>
  <c r="L340" i="1"/>
  <c r="L361" i="1"/>
  <c r="L409" i="1"/>
  <c r="L383" i="1"/>
  <c r="L250" i="1"/>
  <c r="L441" i="1"/>
  <c r="L488" i="1"/>
  <c r="L476" i="1"/>
  <c r="L413" i="1"/>
  <c r="L478" i="1"/>
  <c r="L468" i="1"/>
  <c r="L421" i="1"/>
  <c r="L443" i="1"/>
  <c r="L473" i="1"/>
  <c r="L481" i="1"/>
  <c r="L461" i="1"/>
  <c r="L446" i="1"/>
  <c r="L471" i="1"/>
  <c r="L395" i="1"/>
  <c r="L386" i="1"/>
  <c r="L422" i="1"/>
  <c r="L465" i="1"/>
  <c r="L459" i="1"/>
  <c r="L452" i="1"/>
  <c r="L442" i="1"/>
  <c r="L472" i="1"/>
  <c r="L469" i="1"/>
  <c r="L462" i="1"/>
  <c r="L494" i="1"/>
  <c r="L479" i="1"/>
  <c r="L457" i="1"/>
  <c r="L487" i="1"/>
  <c r="L480" i="1"/>
  <c r="L460" i="1"/>
  <c r="L464" i="1"/>
  <c r="L456" i="1"/>
  <c r="L347" i="1"/>
  <c r="L342" i="1"/>
  <c r="L430" i="1"/>
  <c r="L419" i="1"/>
  <c r="L486" i="1"/>
  <c r="L495" i="1"/>
  <c r="L273" i="1"/>
  <c r="E34" i="4"/>
  <c r="E16" i="6"/>
  <c r="E8" i="6"/>
</calcChain>
</file>

<file path=xl/sharedStrings.xml><?xml version="1.0" encoding="utf-8"?>
<sst xmlns="http://schemas.openxmlformats.org/spreadsheetml/2006/main" count="607" uniqueCount="86">
  <si>
    <t>Aguascalientes</t>
  </si>
  <si>
    <t>Baja California</t>
  </si>
  <si>
    <t>Campeche</t>
  </si>
  <si>
    <t>Coahuila</t>
  </si>
  <si>
    <t>Colima</t>
  </si>
  <si>
    <t>Chiapas</t>
  </si>
  <si>
    <t>Chihuahua</t>
  </si>
  <si>
    <t>Durango</t>
  </si>
  <si>
    <t>Guanajuato</t>
  </si>
  <si>
    <t>Guerrero</t>
  </si>
  <si>
    <t>Hidalgo</t>
  </si>
  <si>
    <t>Jalisco</t>
  </si>
  <si>
    <t>Morelos</t>
  </si>
  <si>
    <t>Nayarit</t>
  </si>
  <si>
    <t>Oaxaca</t>
  </si>
  <si>
    <t>Puebla</t>
  </si>
  <si>
    <t>Quintana Roo</t>
  </si>
  <si>
    <t>Sinaloa</t>
  </si>
  <si>
    <t>Sonora</t>
  </si>
  <si>
    <t>Tabasco</t>
  </si>
  <si>
    <t>Tamaulipas</t>
  </si>
  <si>
    <t>Tlaxcala</t>
  </si>
  <si>
    <t>Veracruz</t>
  </si>
  <si>
    <t>Zacatecas</t>
  </si>
  <si>
    <t>Oficinas Centrales</t>
  </si>
  <si>
    <t>Convive D.F.</t>
  </si>
  <si>
    <t>Issstehuixtla</t>
  </si>
  <si>
    <t>Regional Norte</t>
  </si>
  <si>
    <t>Regional Sur</t>
  </si>
  <si>
    <t>Regional Oriente</t>
  </si>
  <si>
    <t>Regional Poniente</t>
  </si>
  <si>
    <t>Convive Cd. Mex.</t>
  </si>
  <si>
    <t>Baja California. Norte</t>
  </si>
  <si>
    <t>Baja California. Sur</t>
  </si>
  <si>
    <t>Año</t>
  </si>
  <si>
    <t>Oficina Representación</t>
  </si>
  <si>
    <t>Serv. Culturales Derecho Hab Publ</t>
  </si>
  <si>
    <t>Serv. Deportivos Derecho Hab Publ</t>
  </si>
  <si>
    <t>Serv. Sociales Derecho Hab Publ</t>
  </si>
  <si>
    <t>Serv. Funerarios Derecho Hab Publ</t>
  </si>
  <si>
    <t>Serv. Sociales Pensionados Jubl</t>
  </si>
  <si>
    <t>Fome Deportivo Pensionados Jubl</t>
  </si>
  <si>
    <t>Serv. Culturales Pensionados Jubl</t>
  </si>
  <si>
    <t>Soci Comedores Pensionados Jubl</t>
  </si>
  <si>
    <t>Fecha</t>
  </si>
  <si>
    <t>Áreas Centrales</t>
  </si>
  <si>
    <t>México</t>
  </si>
  <si>
    <t>Michoacán</t>
  </si>
  <si>
    <t>Nuevo León</t>
  </si>
  <si>
    <t>Querétaro</t>
  </si>
  <si>
    <t>San Luis Potosí</t>
  </si>
  <si>
    <t>Yucatán</t>
  </si>
  <si>
    <t>Delegación Norte</t>
  </si>
  <si>
    <t>Delegación Sur</t>
  </si>
  <si>
    <t>Delegación Oriente</t>
  </si>
  <si>
    <t>Delegación Poniente</t>
  </si>
  <si>
    <t>Subdelegación. Norte</t>
  </si>
  <si>
    <t>Subdelegación. Sur</t>
  </si>
  <si>
    <t>Subdelegación. Oriente</t>
  </si>
  <si>
    <t>Subdelegación. Poniente</t>
  </si>
  <si>
    <t>Total general</t>
  </si>
  <si>
    <t>Suma de Serv. Deportivos Derecho Hab Publ</t>
  </si>
  <si>
    <t>Suma de Serv. Culturales Derecho Hab Publ</t>
  </si>
  <si>
    <t>Suma de Serv. Sociales Derecho Hab Publ</t>
  </si>
  <si>
    <t>Suma de Serv. Funerarios Derecho Hab Publ</t>
  </si>
  <si>
    <t>Suma de Serv. Sociales Pensionados Jubl</t>
  </si>
  <si>
    <t>Suma de Fome Deportivo Pensionados Jubl</t>
  </si>
  <si>
    <t>Suma de Serv. Culturales Pensionados Jubl</t>
  </si>
  <si>
    <t>Suma de Soci Comedores Pensionados Jubl</t>
  </si>
  <si>
    <t>Suma de todos los Servicios</t>
  </si>
  <si>
    <t>Años</t>
  </si>
  <si>
    <t>Nombre Oficina Representación</t>
  </si>
  <si>
    <t xml:space="preserve">Suma de todos los Servicios </t>
  </si>
  <si>
    <t>Servicios deportivos por año</t>
  </si>
  <si>
    <t>Servicios deportivos a lo largo de los años</t>
  </si>
  <si>
    <t>Comparación entre cultura vs. Deportes vs sociales</t>
  </si>
  <si>
    <t>Comparación clave entre categorías</t>
  </si>
  <si>
    <t>Top 10 delegaciones</t>
  </si>
  <si>
    <t>Ranking de oficinas de representación</t>
  </si>
  <si>
    <t>Etiquetas de fila</t>
  </si>
  <si>
    <t>Suma de Suma de todos los Servicios</t>
  </si>
  <si>
    <t>Total</t>
  </si>
  <si>
    <t>Nombre Servicio</t>
  </si>
  <si>
    <t>Total de cada servicio</t>
  </si>
  <si>
    <t>Suma de Total de cada servicio</t>
  </si>
  <si>
    <t>B19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</si>
</sst>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2"/>
      <color theme="1"/>
      <name val="Arial"/>
      <family val="2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CAF0F8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theme="1"/>
      </bottom>
      <diagonal/>
    </border>
    <border>
      <left/>
      <right/>
      <top style="thin">
        <color theme="1"/>
      </top>
      <bottom style="thin">
        <color theme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4" fontId="0" fillId="0" borderId="0" xfId="0" applyNumberFormat="1"/>
    <xf numFmtId="1" fontId="0" fillId="0" borderId="0" xfId="0" applyNumberFormat="1"/>
    <xf numFmtId="0" fontId="0" fillId="0" borderId="0" xfId="0" pivotButton="1"/>
    <xf numFmtId="1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18" fillId="33" borderId="0" xfId="0" applyFont="1" applyFill="1" applyAlignment="1">
      <alignment horizontal="center"/>
    </xf>
    <xf numFmtId="0" fontId="16" fillId="0" borderId="11" xfId="0" applyFont="1" applyBorder="1"/>
    <xf numFmtId="1" fontId="16" fillId="0" borderId="11" xfId="0" applyNumberFormat="1" applyFont="1" applyBorder="1"/>
    <xf numFmtId="1" fontId="0" fillId="34" borderId="0" xfId="0" applyNumberFormat="1" applyFont="1" applyFill="1"/>
    <xf numFmtId="1" fontId="0" fillId="0" borderId="0" xfId="0" applyNumberFormat="1" applyFont="1"/>
    <xf numFmtId="1" fontId="0" fillId="0" borderId="10" xfId="0" applyNumberFormat="1" applyFont="1" applyBorder="1"/>
    <xf numFmtId="0" fontId="0" fillId="35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13">
    <dxf>
      <numFmt numFmtId="1" formatCode="0"/>
    </dxf>
    <dxf>
      <numFmt numFmtId="1" formatCode="0"/>
    </dxf>
    <dxf>
      <numFmt numFmtId="1" formatCode="0"/>
    </dxf>
    <dxf>
      <numFmt numFmtId="19" formatCode="dd/mm/yyyy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  <dxf>
      <numFmt numFmtId="1" formatCode="0"/>
    </dxf>
  </dxfs>
  <tableStyles count="0" defaultTableStyle="TableStyleMedium2" defaultPivotStyle="PivotStyleLight16"/>
  <colors>
    <mruColors>
      <color rgb="FF90E0EF"/>
      <color rgb="FF03045E"/>
      <color rgb="FF0077B6"/>
      <color rgb="FFCA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microsoft.com/office/2007/relationships/slicerCache" Target="slicerCaches/slicerCache2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microsoft.com/office/2007/relationships/slicerCache" Target="slicerCaches/slicerCach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6DB-4BA3-A8AE-41CDA87CCF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F1-4702-A012-95A6B92AE8D3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9F1-4702-A012-95A6B92AE8D3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9F1-4702-A012-95A6B92AE8D3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9F1-4702-A012-95A6B92AE8D3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A9F1-4702-A012-95A6B92AE8D3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A9F1-4702-A012-95A6B92AE8D3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A9F1-4702-A012-95A6B92AE8D3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A9F1-4702-A012-95A6B92AE8D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2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F-4888-AF57-DC71DDD60C90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F-4888-AF57-DC71DDD60C90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F-4888-AF57-DC71DDD60C90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F-4888-AF57-DC71DDD60C90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F-4888-AF57-DC71DDD60C90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F-4888-AF57-DC71DDD60C90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F-4888-AF57-DC71DDD60C90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6A5F-4888-AF57-DC71DDD60C90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6A5F-4888-AF57-DC71DDD60C90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E61B-4985-B6B8-38262CCA89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61B-4985-B6B8-38262CCA894D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6"/>
  </c:pivotSource>
  <c:chart>
    <c:autoTitleDeleted val="1"/>
    <c:pivotFmts>
      <c:pivotFmt>
        <c:idx val="0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2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1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240-47C8-ACDE-536DB06B456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240-47C8-ACDE-536DB06B456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240-47C8-ACDE-536DB06B456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240-47C8-ACDE-536DB06B456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240-47C8-ACDE-536DB06B456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240-47C8-ACDE-536DB06B456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240-47C8-ACDE-536DB06B456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F240-47C8-ACDE-536DB06B456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Culturales Derecho Hab Publ</c:v>
                </c:pt>
                <c:pt idx="1">
                  <c:v>Serv. Deportivos Derecho Hab Publ</c:v>
                </c:pt>
                <c:pt idx="2">
                  <c:v>Serv. Culturales Pensionados Jubl</c:v>
                </c:pt>
                <c:pt idx="3">
                  <c:v>Serv. Sociales Pensionados Jubl</c:v>
                </c:pt>
                <c:pt idx="4">
                  <c:v>Fome Deportivo Pensionados Jubl</c:v>
                </c:pt>
                <c:pt idx="5">
                  <c:v>Serv. Sociales Derecho Hab Publ</c:v>
                </c:pt>
                <c:pt idx="6">
                  <c:v>Soci Comedores Pensionados Jubl</c:v>
                </c:pt>
                <c:pt idx="7">
                  <c:v>Serv. Funerarios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36375442</c:v>
                </c:pt>
                <c:pt idx="1">
                  <c:v>11512451</c:v>
                </c:pt>
                <c:pt idx="2">
                  <c:v>3250887</c:v>
                </c:pt>
                <c:pt idx="3">
                  <c:v>2175717</c:v>
                </c:pt>
                <c:pt idx="4">
                  <c:v>1962313</c:v>
                </c:pt>
                <c:pt idx="5">
                  <c:v>661401</c:v>
                </c:pt>
                <c:pt idx="6">
                  <c:v>654994</c:v>
                </c:pt>
                <c:pt idx="7">
                  <c:v>322484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5C-4B01-8954-9AA576FB6B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[Dashboard.xlsx]Servios deportivos por año!ServiciosDeportivosPorAño</c:name>
    <c:fmtId val="6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0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1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2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3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4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5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6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7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8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9"/>
        <c:spPr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'Servios deportivos por año'!$B$6:$B$7</c:f>
              <c:strCache>
                <c:ptCount val="1"/>
                <c:pt idx="0">
                  <c:v>Hidalgo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'Servios deportivos por año'!$A$8:$A$21</c:f>
              <c:strCache>
                <c:ptCount val="13"/>
                <c:pt idx="0">
                  <c:v>2013</c:v>
                </c:pt>
                <c:pt idx="1">
                  <c:v>2014</c:v>
                </c:pt>
                <c:pt idx="2">
                  <c:v>2015</c:v>
                </c:pt>
                <c:pt idx="3">
                  <c:v>2016</c:v>
                </c:pt>
                <c:pt idx="4">
                  <c:v>2017</c:v>
                </c:pt>
                <c:pt idx="5">
                  <c:v>2018</c:v>
                </c:pt>
                <c:pt idx="6">
                  <c:v>2019</c:v>
                </c:pt>
                <c:pt idx="7">
                  <c:v>2020</c:v>
                </c:pt>
                <c:pt idx="8">
                  <c:v>2021</c:v>
                </c:pt>
                <c:pt idx="9">
                  <c:v>2022</c:v>
                </c:pt>
                <c:pt idx="10">
                  <c:v>2023</c:v>
                </c:pt>
                <c:pt idx="11">
                  <c:v>2024</c:v>
                </c:pt>
                <c:pt idx="12">
                  <c:v>2025</c:v>
                </c:pt>
              </c:strCache>
            </c:strRef>
          </c:cat>
          <c:val>
            <c:numRef>
              <c:f>'Servios deportivos por año'!$B$8:$B$21</c:f>
              <c:numCache>
                <c:formatCode>0</c:formatCode>
                <c:ptCount val="13"/>
                <c:pt idx="0">
                  <c:v>79355</c:v>
                </c:pt>
                <c:pt idx="1">
                  <c:v>70442</c:v>
                </c:pt>
                <c:pt idx="2">
                  <c:v>71296</c:v>
                </c:pt>
                <c:pt idx="3">
                  <c:v>0</c:v>
                </c:pt>
                <c:pt idx="4">
                  <c:v>72504</c:v>
                </c:pt>
                <c:pt idx="5">
                  <c:v>72045</c:v>
                </c:pt>
                <c:pt idx="6">
                  <c:v>72759</c:v>
                </c:pt>
                <c:pt idx="7">
                  <c:v>15133</c:v>
                </c:pt>
                <c:pt idx="8">
                  <c:v>884</c:v>
                </c:pt>
                <c:pt idx="9">
                  <c:v>626</c:v>
                </c:pt>
                <c:pt idx="10">
                  <c:v>638</c:v>
                </c:pt>
                <c:pt idx="11">
                  <c:v>756</c:v>
                </c:pt>
                <c:pt idx="12">
                  <c:v>252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BD-4CA3-8436-68A28750EF9A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25515711"/>
        <c:axId val="1025510431"/>
      </c:lineChart>
      <c:catAx>
        <c:axId val="102551571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0431"/>
        <c:crosses val="autoZero"/>
        <c:auto val="1"/>
        <c:lblAlgn val="ctr"/>
        <c:lblOffset val="100"/>
        <c:noMultiLvlLbl val="0"/>
      </c:catAx>
      <c:valAx>
        <c:axId val="10255104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255157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[Dashboard.xlsx]Comp entre cul vs dep vs soc!ComparaciónEntreServiciosCulturalesVsDeportivosVsSociales</c:name>
    <c:fmtId val="13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'Comp entre cul vs dep vs soc'!$B$6</c:f>
              <c:strCache>
                <c:ptCount val="1"/>
                <c:pt idx="0">
                  <c:v>Suma de Serv. Culturales Derecho Hab Publ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soc'!$B$7</c:f>
              <c:numCache>
                <c:formatCode>0</c:formatCode>
                <c:ptCount val="1"/>
                <c:pt idx="0">
                  <c:v>840418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21-44B7-A3A0-DD6632B0B0A9}"/>
            </c:ext>
          </c:extLst>
        </c:ser>
        <c:ser>
          <c:idx val="1"/>
          <c:order val="1"/>
          <c:tx>
            <c:strRef>
              <c:f>'Comp entre cul vs dep vs soc'!$C$6</c:f>
              <c:strCache>
                <c:ptCount val="1"/>
                <c:pt idx="0">
                  <c:v>Suma de Serv. Deportivos Derecho Hab Publ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soc'!$C$7</c:f>
              <c:numCache>
                <c:formatCode>0</c:formatCode>
                <c:ptCount val="1"/>
                <c:pt idx="0">
                  <c:v>456690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21-44B7-A3A0-DD6632B0B0A9}"/>
            </c:ext>
          </c:extLst>
        </c:ser>
        <c:ser>
          <c:idx val="2"/>
          <c:order val="2"/>
          <c:tx>
            <c:strRef>
              <c:f>'Comp entre cul vs dep vs soc'!$D$6</c:f>
              <c:strCache>
                <c:ptCount val="1"/>
                <c:pt idx="0">
                  <c:v>Suma de Serv. Sociales Derecho Hab Publ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soc'!$D$7</c:f>
              <c:numCache>
                <c:formatCode>0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F21-44B7-A3A0-DD6632B0B0A9}"/>
            </c:ext>
          </c:extLst>
        </c:ser>
        <c:ser>
          <c:idx val="3"/>
          <c:order val="3"/>
          <c:tx>
            <c:strRef>
              <c:f>'Comp entre cul vs dep vs soc'!$E$6</c:f>
              <c:strCache>
                <c:ptCount val="1"/>
                <c:pt idx="0">
                  <c:v>Suma de Serv. Funerarios Derecho Hab Publ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soc'!$E$7</c:f>
              <c:numCache>
                <c:formatCode>0</c:formatCode>
                <c:ptCount val="1"/>
                <c:pt idx="0">
                  <c:v>1038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6F21-44B7-A3A0-DD6632B0B0A9}"/>
            </c:ext>
          </c:extLst>
        </c:ser>
        <c:ser>
          <c:idx val="4"/>
          <c:order val="4"/>
          <c:tx>
            <c:strRef>
              <c:f>'Comp entre cul vs dep vs soc'!$F$6</c:f>
              <c:strCache>
                <c:ptCount val="1"/>
                <c:pt idx="0">
                  <c:v>Suma de Serv. Sociales Pensionados Jubl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soc'!$F$7</c:f>
              <c:numCache>
                <c:formatCode>0</c:formatCode>
                <c:ptCount val="1"/>
                <c:pt idx="0">
                  <c:v>22652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6F21-44B7-A3A0-DD6632B0B0A9}"/>
            </c:ext>
          </c:extLst>
        </c:ser>
        <c:ser>
          <c:idx val="5"/>
          <c:order val="5"/>
          <c:tx>
            <c:strRef>
              <c:f>'Comp entre cul vs dep vs soc'!$G$6</c:f>
              <c:strCache>
                <c:ptCount val="1"/>
                <c:pt idx="0">
                  <c:v>Suma de Fome Deportivo Pensionados Jubl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soc'!$G$7</c:f>
              <c:numCache>
                <c:formatCode>0</c:formatCode>
                <c:ptCount val="1"/>
                <c:pt idx="0">
                  <c:v>19799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6F21-44B7-A3A0-DD6632B0B0A9}"/>
            </c:ext>
          </c:extLst>
        </c:ser>
        <c:ser>
          <c:idx val="6"/>
          <c:order val="6"/>
          <c:tx>
            <c:strRef>
              <c:f>'Comp entre cul vs dep vs soc'!$H$6</c:f>
              <c:strCache>
                <c:ptCount val="1"/>
                <c:pt idx="0">
                  <c:v>Suma de Serv. Culturales Pensionados Jubl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soc'!$H$7</c:f>
              <c:numCache>
                <c:formatCode>0</c:formatCode>
                <c:ptCount val="1"/>
                <c:pt idx="0">
                  <c:v>55410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6F21-44B7-A3A0-DD6632B0B0A9}"/>
            </c:ext>
          </c:extLst>
        </c:ser>
        <c:ser>
          <c:idx val="7"/>
          <c:order val="7"/>
          <c:tx>
            <c:strRef>
              <c:f>'Comp entre cul vs dep vs soc'!$I$6</c:f>
              <c:strCache>
                <c:ptCount val="1"/>
                <c:pt idx="0">
                  <c:v>Suma de Soci Comedores Pensionados Jubl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'Comp entre cul vs dep vs soc'!$A$7</c:f>
              <c:strCache>
                <c:ptCount val="1"/>
                <c:pt idx="0">
                  <c:v>Hidalgo</c:v>
                </c:pt>
              </c:strCache>
            </c:strRef>
          </c:cat>
          <c:val>
            <c:numRef>
              <c:f>'Comp entre cul vs dep vs soc'!$I$7</c:f>
              <c:numCache>
                <c:formatCode>0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6F21-44B7-A3A0-DD6632B0B0A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1356127"/>
        <c:axId val="1011351807"/>
      </c:barChart>
      <c:catAx>
        <c:axId val="1011356127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1807"/>
        <c:crosses val="autoZero"/>
        <c:auto val="1"/>
        <c:lblAlgn val="ctr"/>
        <c:lblOffset val="100"/>
        <c:noMultiLvlLbl val="0"/>
      </c:catAx>
      <c:valAx>
        <c:axId val="1011351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135612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delegaciones!RankingDeDelegaciones</c:name>
    <c:fmtId val="10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</c:pivotFmt>
    </c:pivotFmts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'Ranking de delegaciones'!$B$9</c:f>
              <c:strCache>
                <c:ptCount val="1"/>
                <c:pt idx="0">
                  <c:v>Total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D0B7-4A18-9B47-24BFE6AF36A1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3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D0B7-4A18-9B47-24BFE6AF36A1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5"/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D0B7-4A18-9B47-24BFE6AF36A1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D0B7-4A18-9B47-24BFE6AF36A1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3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D0B7-4A18-9B47-24BFE6AF36A1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5">
                  <a:lumMod val="6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D0B7-4A18-9B47-24BFE6AF36A1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D-D0B7-4A18-9B47-24BFE6AF36A1}"/>
              </c:ext>
            </c:extLst>
          </c:dPt>
          <c:dPt>
            <c:idx val="7"/>
            <c:invertIfNegative val="0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F-D0B7-4A18-9B47-24BFE6AF36A1}"/>
              </c:ext>
            </c:extLst>
          </c:dPt>
          <c:dPt>
            <c:idx val="8"/>
            <c:invertIfNegative val="0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1-D0B7-4A18-9B47-24BFE6AF36A1}"/>
              </c:ext>
            </c:extLst>
          </c:dPt>
          <c:dPt>
            <c:idx val="9"/>
            <c:invertIfNegative val="0"/>
            <c:bubble3D val="0"/>
            <c:spPr>
              <a:solidFill>
                <a:schemeClr val="accent1">
                  <a:lumMod val="80000"/>
                </a:schemeClr>
              </a:solidFill>
              <a:ln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13-D0B7-4A18-9B47-24BFE6AF36A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'Ranking de delegaciones'!$A$10:$A$20</c:f>
              <c:strCache>
                <c:ptCount val="10"/>
                <c:pt idx="0">
                  <c:v>Nuevo León</c:v>
                </c:pt>
                <c:pt idx="1">
                  <c:v>Coahuila</c:v>
                </c:pt>
                <c:pt idx="2">
                  <c:v>Hidalgo</c:v>
                </c:pt>
                <c:pt idx="3">
                  <c:v>Yucatán</c:v>
                </c:pt>
                <c:pt idx="4">
                  <c:v>Zacatecas</c:v>
                </c:pt>
                <c:pt idx="5">
                  <c:v>México</c:v>
                </c:pt>
                <c:pt idx="6">
                  <c:v>San Luis Potosí</c:v>
                </c:pt>
                <c:pt idx="7">
                  <c:v>Oaxaca</c:v>
                </c:pt>
                <c:pt idx="8">
                  <c:v>Áreas Centrales</c:v>
                </c:pt>
                <c:pt idx="9">
                  <c:v>Oficinas Centrales</c:v>
                </c:pt>
              </c:strCache>
            </c:strRef>
          </c:cat>
          <c:val>
            <c:numRef>
              <c:f>'Ranking de delegaciones'!$B$10:$B$20</c:f>
              <c:numCache>
                <c:formatCode>0</c:formatCode>
                <c:ptCount val="10"/>
                <c:pt idx="0">
                  <c:v>1151362</c:v>
                </c:pt>
                <c:pt idx="1">
                  <c:v>1329318</c:v>
                </c:pt>
                <c:pt idx="2">
                  <c:v>1396246</c:v>
                </c:pt>
                <c:pt idx="3">
                  <c:v>1544155</c:v>
                </c:pt>
                <c:pt idx="4">
                  <c:v>1700361</c:v>
                </c:pt>
                <c:pt idx="5">
                  <c:v>1853200</c:v>
                </c:pt>
                <c:pt idx="6">
                  <c:v>2141268</c:v>
                </c:pt>
                <c:pt idx="7">
                  <c:v>2824608</c:v>
                </c:pt>
                <c:pt idx="8">
                  <c:v>2908515</c:v>
                </c:pt>
                <c:pt idx="9">
                  <c:v>12806883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0B7-4A18-9B47-24BFE6AF36A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015971759"/>
        <c:axId val="1015986159"/>
      </c:barChart>
      <c:catAx>
        <c:axId val="1015971759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1015986159"/>
        <c:crosses val="autoZero"/>
        <c:auto val="1"/>
        <c:lblAlgn val="ctr"/>
        <c:lblOffset val="100"/>
        <c:noMultiLvlLbl val="0"/>
      </c:catAx>
      <c:valAx>
        <c:axId val="1015986159"/>
        <c:scaling>
          <c:orientation val="minMax"/>
        </c:scaling>
        <c:delete val="1"/>
        <c:axPos val="b"/>
        <c:numFmt formatCode="0" sourceLinked="1"/>
        <c:majorTickMark val="none"/>
        <c:minorTickMark val="none"/>
        <c:tickLblPos val="nextTo"/>
        <c:crossAx val="10159717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[Dashboard.xlsx]Ranking de Servicios!TablaDinámica1</c:name>
    <c:fmtId val="14"/>
  </c:pivotSource>
  <c:chart>
    <c:autoTitleDeleted val="1"/>
    <c:pivotFmts>
      <c:pivotFmt>
        <c:idx val="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9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0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MX"/>
            </a:p>
          </c:txPr>
          <c:showLegendKey val="0"/>
          <c:showVal val="1"/>
          <c:showCatName val="1"/>
          <c:showSerName val="0"/>
          <c:showPercent val="0"/>
          <c:showBubbleSize val="0"/>
          <c:separator>
</c:separator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2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3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4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5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6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7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  <c:pivotFmt>
        <c:idx val="18"/>
        <c:spPr>
          <a:solidFill>
            <a:schemeClr val="accent6"/>
          </a:solidFill>
          <a:ln w="19050">
            <a:solidFill>
              <a:schemeClr val="lt1"/>
            </a:solidFill>
          </a:ln>
          <a:effectLst/>
        </c:spPr>
      </c:pivotFmt>
    </c:pivotFmts>
    <c:plotArea>
      <c:layout/>
      <c:pieChart>
        <c:varyColors val="1"/>
        <c:ser>
          <c:idx val="0"/>
          <c:order val="0"/>
          <c:tx>
            <c:strRef>
              <c:f>'Ranking de Servicios'!$B$7</c:f>
              <c:strCache>
                <c:ptCount val="1"/>
                <c:pt idx="0">
                  <c:v>Total</c:v>
                </c:pt>
              </c:strCache>
            </c:strRef>
          </c:tx>
          <c:explosion val="3"/>
          <c:dPt>
            <c:idx val="0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5EB-41D8-8314-2F34F035ADBF}"/>
              </c:ext>
            </c:extLst>
          </c:dPt>
          <c:dPt>
            <c:idx val="1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5EB-41D8-8314-2F34F035ADBF}"/>
              </c:ext>
            </c:extLst>
          </c:dPt>
          <c:dPt>
            <c:idx val="2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5EB-41D8-8314-2F34F035ADBF}"/>
              </c:ext>
            </c:extLst>
          </c:dPt>
          <c:dPt>
            <c:idx val="3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5EB-41D8-8314-2F34F035ADBF}"/>
              </c:ext>
            </c:extLst>
          </c:dPt>
          <c:dPt>
            <c:idx val="4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5EB-41D8-8314-2F34F035ADBF}"/>
              </c:ext>
            </c:extLst>
          </c:dPt>
          <c:dPt>
            <c:idx val="5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5EB-41D8-8314-2F34F035ADBF}"/>
              </c:ext>
            </c:extLst>
          </c:dPt>
          <c:dPt>
            <c:idx val="6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5EB-41D8-8314-2F34F035ADBF}"/>
              </c:ext>
            </c:extLst>
          </c:dPt>
          <c:dPt>
            <c:idx val="7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55EB-41D8-8314-2F34F035ADB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MX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eparator>
</c:separator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>
                  <a:glow rad="127000">
                    <a:schemeClr val="bg2">
                      <a:lumMod val="90000"/>
                    </a:schemeClr>
                  </a:glow>
                </a:effectLst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'Ranking de Servicios'!$A$8:$A$16</c:f>
              <c:strCache>
                <c:ptCount val="8"/>
                <c:pt idx="0">
                  <c:v>Serv. Culturales Derecho Hab Publ</c:v>
                </c:pt>
                <c:pt idx="1">
                  <c:v>Serv. Deportivos Derecho Hab Publ</c:v>
                </c:pt>
                <c:pt idx="2">
                  <c:v>Serv. Culturales Pensionados Jubl</c:v>
                </c:pt>
                <c:pt idx="3">
                  <c:v>Serv. Sociales Pensionados Jubl</c:v>
                </c:pt>
                <c:pt idx="4">
                  <c:v>Fome Deportivo Pensionados Jubl</c:v>
                </c:pt>
                <c:pt idx="5">
                  <c:v>Serv. Sociales Derecho Hab Publ</c:v>
                </c:pt>
                <c:pt idx="6">
                  <c:v>Soci Comedores Pensionados Jubl</c:v>
                </c:pt>
                <c:pt idx="7">
                  <c:v>Serv. Funerarios Derecho Hab Publ</c:v>
                </c:pt>
              </c:strCache>
            </c:strRef>
          </c:cat>
          <c:val>
            <c:numRef>
              <c:f>'Ranking de Servicios'!$B$8:$B$16</c:f>
              <c:numCache>
                <c:formatCode>0</c:formatCode>
                <c:ptCount val="8"/>
                <c:pt idx="0">
                  <c:v>36375442</c:v>
                </c:pt>
                <c:pt idx="1">
                  <c:v>11512451</c:v>
                </c:pt>
                <c:pt idx="2">
                  <c:v>3250887</c:v>
                </c:pt>
                <c:pt idx="3">
                  <c:v>2175717</c:v>
                </c:pt>
                <c:pt idx="4">
                  <c:v>1962313</c:v>
                </c:pt>
                <c:pt idx="5">
                  <c:v>661401</c:v>
                </c:pt>
                <c:pt idx="6">
                  <c:v>654994</c:v>
                </c:pt>
                <c:pt idx="7">
                  <c:v>322484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55EB-41D8-8314-2F34F035AD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ysClr val="window" lastClr="FFFFFF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4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27</xdr:row>
      <xdr:rowOff>34290</xdr:rowOff>
    </xdr:from>
    <xdr:to>
      <xdr:col>16</xdr:col>
      <xdr:colOff>548640</xdr:colOff>
      <xdr:row>52</xdr:row>
      <xdr:rowOff>45720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5C291C6E-805F-268A-716E-C10665D67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746760</xdr:colOff>
      <xdr:row>0</xdr:row>
      <xdr:rowOff>99060</xdr:rowOff>
    </xdr:from>
    <xdr:to>
      <xdr:col>13</xdr:col>
      <xdr:colOff>929640</xdr:colOff>
      <xdr:row>4</xdr:row>
      <xdr:rowOff>22860</xdr:rowOff>
    </xdr:to>
    <xdr:sp macro="" textlink="">
      <xdr:nvSpPr>
        <xdr:cNvPr id="4" name="Rectángulo: esquinas redondeadas 3">
          <a:extLst>
            <a:ext uri="{FF2B5EF4-FFF2-40B4-BE49-F238E27FC236}">
              <a16:creationId xmlns:a16="http://schemas.microsoft.com/office/drawing/2014/main" id="{A5C2AE0A-8499-8982-6714-81B27ABAD1E0}"/>
            </a:ext>
          </a:extLst>
        </xdr:cNvPr>
        <xdr:cNvSpPr/>
      </xdr:nvSpPr>
      <xdr:spPr>
        <a:xfrm>
          <a:off x="6416040" y="99060"/>
          <a:ext cx="83515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579120</xdr:colOff>
      <xdr:row>0</xdr:row>
      <xdr:rowOff>99060</xdr:rowOff>
    </xdr:from>
    <xdr:to>
      <xdr:col>13</xdr:col>
      <xdr:colOff>975360</xdr:colOff>
      <xdr:row>3</xdr:row>
      <xdr:rowOff>106680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20E29073-38BE-6C9A-1AFB-17B1E53C1489}"/>
            </a:ext>
          </a:extLst>
        </xdr:cNvPr>
        <xdr:cNvSpPr txBox="1"/>
      </xdr:nvSpPr>
      <xdr:spPr>
        <a:xfrm>
          <a:off x="7147560" y="99060"/>
          <a:ext cx="76657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servicio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deportivo en Hidalgo a lo largo de los años 2013 al 2025 han tenido un decremento con el paso de los años, teniendo el más bajo en 2016 con 0 servicios deportivos. Se estima que para el año 2026 la suma de los servicios deportivos sigan disminuyendo.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762000</xdr:colOff>
      <xdr:row>0</xdr:row>
      <xdr:rowOff>83820</xdr:rowOff>
    </xdr:from>
    <xdr:to>
      <xdr:col>4</xdr:col>
      <xdr:colOff>1226820</xdr:colOff>
      <xdr:row>1</xdr:row>
      <xdr:rowOff>281940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3A35CBEE-A416-7155-3326-58173C8216EE}"/>
            </a:ext>
          </a:extLst>
        </xdr:cNvPr>
        <xdr:cNvSpPr txBox="1"/>
      </xdr:nvSpPr>
      <xdr:spPr>
        <a:xfrm>
          <a:off x="6431280" y="8382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62</xdr:row>
      <xdr:rowOff>175260</xdr:rowOff>
    </xdr:from>
    <xdr:to>
      <xdr:col>6</xdr:col>
      <xdr:colOff>0</xdr:colOff>
      <xdr:row>92</xdr:row>
      <xdr:rowOff>76200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BDB22A72-EF5D-817C-7019-683A55FB88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426720</xdr:colOff>
      <xdr:row>0</xdr:row>
      <xdr:rowOff>91440</xdr:rowOff>
    </xdr:from>
    <xdr:to>
      <xdr:col>5</xdr:col>
      <xdr:colOff>1706880</xdr:colOff>
      <xdr:row>4</xdr:row>
      <xdr:rowOff>15240</xdr:rowOff>
    </xdr:to>
    <xdr:sp macro="" textlink="">
      <xdr:nvSpPr>
        <xdr:cNvPr id="3" name="Rectángulo: esquinas redondeadas 2">
          <a:extLst>
            <a:ext uri="{FF2B5EF4-FFF2-40B4-BE49-F238E27FC236}">
              <a16:creationId xmlns:a16="http://schemas.microsoft.com/office/drawing/2014/main" id="{655E71A1-17A4-4D8F-A77F-5AAF8D5F3784}"/>
            </a:ext>
          </a:extLst>
        </xdr:cNvPr>
        <xdr:cNvSpPr/>
      </xdr:nvSpPr>
      <xdr:spPr>
        <a:xfrm>
          <a:off x="7734300" y="91440"/>
          <a:ext cx="6370320" cy="83058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1203960</xdr:colOff>
      <xdr:row>0</xdr:row>
      <xdr:rowOff>106680</xdr:rowOff>
    </xdr:from>
    <xdr:to>
      <xdr:col>5</xdr:col>
      <xdr:colOff>1805940</xdr:colOff>
      <xdr:row>3</xdr:row>
      <xdr:rowOff>114300</xdr:rowOff>
    </xdr:to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BA9AEA19-33C4-4D57-AA60-CD0AE3EA7D91}"/>
            </a:ext>
          </a:extLst>
        </xdr:cNvPr>
        <xdr:cNvSpPr txBox="1"/>
      </xdr:nvSpPr>
      <xdr:spPr>
        <a:xfrm>
          <a:off x="8511540" y="106680"/>
          <a:ext cx="569214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La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compración entre los diferentes tipos de servicios del estado de Hidalgo nos muestra que el servicio social de comedores para pensionados/jubilados es el más bajo de todos con 0 registrados.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3</xdr:col>
      <xdr:colOff>441960</xdr:colOff>
      <xdr:row>0</xdr:row>
      <xdr:rowOff>76200</xdr:rowOff>
    </xdr:from>
    <xdr:to>
      <xdr:col>3</xdr:col>
      <xdr:colOff>1805940</xdr:colOff>
      <xdr:row>1</xdr:row>
      <xdr:rowOff>274320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AB8D5D28-C707-49C5-964C-6C684CAAF810}"/>
            </a:ext>
          </a:extLst>
        </xdr:cNvPr>
        <xdr:cNvSpPr txBox="1"/>
      </xdr:nvSpPr>
      <xdr:spPr>
        <a:xfrm>
          <a:off x="7749540" y="7620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34290</xdr:colOff>
      <xdr:row>7</xdr:row>
      <xdr:rowOff>171450</xdr:rowOff>
    </xdr:from>
    <xdr:to>
      <xdr:col>11</xdr:col>
      <xdr:colOff>1226820</xdr:colOff>
      <xdr:row>28</xdr:row>
      <xdr:rowOff>114300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91A4C4AB-307E-AF15-A2F4-5AF30B311E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434340</xdr:colOff>
      <xdr:row>0</xdr:row>
      <xdr:rowOff>106680</xdr:rowOff>
    </xdr:from>
    <xdr:to>
      <xdr:col>13</xdr:col>
      <xdr:colOff>434340</xdr:colOff>
      <xdr:row>3</xdr:row>
      <xdr:rowOff>121920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FDF5C50-1C48-442A-8220-672637B18930}"/>
            </a:ext>
          </a:extLst>
        </xdr:cNvPr>
        <xdr:cNvSpPr/>
      </xdr:nvSpPr>
      <xdr:spPr>
        <a:xfrm>
          <a:off x="8069580" y="106680"/>
          <a:ext cx="6263640" cy="739140"/>
        </a:xfrm>
        <a:prstGeom prst="roundRect">
          <a:avLst/>
        </a:prstGeom>
      </xdr:spPr>
      <xdr:style>
        <a:lnRef idx="2">
          <a:schemeClr val="accent3">
            <a:shade val="15000"/>
          </a:schemeClr>
        </a:lnRef>
        <a:fillRef idx="1">
          <a:schemeClr val="accent3"/>
        </a:fillRef>
        <a:effectRef idx="0">
          <a:schemeClr val="accent3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7</xdr:col>
      <xdr:colOff>472440</xdr:colOff>
      <xdr:row>0</xdr:row>
      <xdr:rowOff>91440</xdr:rowOff>
    </xdr:from>
    <xdr:to>
      <xdr:col>8</xdr:col>
      <xdr:colOff>762000</xdr:colOff>
      <xdr:row>1</xdr:row>
      <xdr:rowOff>289560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12FD47C3-A102-4F6F-B705-59C29EA815CA}"/>
            </a:ext>
          </a:extLst>
        </xdr:cNvPr>
        <xdr:cNvSpPr txBox="1"/>
      </xdr:nvSpPr>
      <xdr:spPr>
        <a:xfrm>
          <a:off x="8107680" y="91440"/>
          <a:ext cx="13639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600" b="1"/>
            <a:t>Insight</a:t>
          </a:r>
          <a:r>
            <a:rPr lang="es-MX" sz="1600"/>
            <a:t> </a:t>
          </a:r>
          <a:r>
            <a:rPr lang="es-MX" sz="1600">
              <a:solidFill>
                <a:schemeClr val="tx1"/>
              </a:solidFill>
            </a:rPr>
            <a:t>: </a:t>
          </a:r>
        </a:p>
      </xdr:txBody>
    </xdr:sp>
    <xdr:clientData/>
  </xdr:twoCellAnchor>
  <xdr:twoCellAnchor>
    <xdr:from>
      <xdr:col>8</xdr:col>
      <xdr:colOff>190500</xdr:colOff>
      <xdr:row>0</xdr:row>
      <xdr:rowOff>114300</xdr:rowOff>
    </xdr:from>
    <xdr:to>
      <xdr:col>13</xdr:col>
      <xdr:colOff>533400</xdr:colOff>
      <xdr:row>3</xdr:row>
      <xdr:rowOff>121920</xdr:rowOff>
    </xdr:to>
    <xdr:sp macro="" textlink="">
      <xdr:nvSpPr>
        <xdr:cNvPr id="7" name="CuadroTexto 6">
          <a:extLst>
            <a:ext uri="{FF2B5EF4-FFF2-40B4-BE49-F238E27FC236}">
              <a16:creationId xmlns:a16="http://schemas.microsoft.com/office/drawing/2014/main" id="{6F8AF2AD-9BF3-4E59-AFAC-FC52C1A28676}"/>
            </a:ext>
          </a:extLst>
        </xdr:cNvPr>
        <xdr:cNvSpPr txBox="1"/>
      </xdr:nvSpPr>
      <xdr:spPr>
        <a:xfrm>
          <a:off x="8900160" y="114300"/>
          <a:ext cx="5532120" cy="7315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s-MX" sz="1400">
              <a:latin typeface="Arial" panose="020B0604020202020204" pitchFamily="34" charset="0"/>
              <a:cs typeface="Arial" panose="020B0604020202020204" pitchFamily="34" charset="0"/>
            </a:rPr>
            <a:t>El ranking de</a:t>
          </a:r>
          <a:r>
            <a:rPr lang="es-MX" sz="1400" baseline="0">
              <a:latin typeface="Arial" panose="020B0604020202020204" pitchFamily="34" charset="0"/>
              <a:cs typeface="Arial" panose="020B0604020202020204" pitchFamily="34" charset="0"/>
            </a:rPr>
            <a:t> las oficinas de representación no muestra que el estado de Hidalgo se encuentre la 8 posición apesar que algunos de los servición sociales aparece con 0 registros.</a:t>
          </a:r>
          <a:endParaRPr lang="es-MX" sz="1400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449580</xdr:colOff>
      <xdr:row>12</xdr:row>
      <xdr:rowOff>11430</xdr:rowOff>
    </xdr:from>
    <xdr:to>
      <xdr:col>5</xdr:col>
      <xdr:colOff>2415540</xdr:colOff>
      <xdr:row>37</xdr:row>
      <xdr:rowOff>99060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79D90A1A-D24F-D04B-3C4B-2BAD344D58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754380</xdr:colOff>
      <xdr:row>1</xdr:row>
      <xdr:rowOff>121920</xdr:rowOff>
    </xdr:from>
    <xdr:to>
      <xdr:col>7</xdr:col>
      <xdr:colOff>91440</xdr:colOff>
      <xdr:row>7</xdr:row>
      <xdr:rowOff>114300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1455E126-35E3-64B0-74EF-9539C250CDF3}"/>
            </a:ext>
          </a:extLst>
        </xdr:cNvPr>
        <xdr:cNvSpPr/>
      </xdr:nvSpPr>
      <xdr:spPr>
        <a:xfrm>
          <a:off x="1546860" y="3048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22860</xdr:colOff>
      <xdr:row>2</xdr:row>
      <xdr:rowOff>53340</xdr:rowOff>
    </xdr:from>
    <xdr:to>
      <xdr:col>7</xdr:col>
      <xdr:colOff>15240</xdr:colOff>
      <xdr:row>4</xdr:row>
      <xdr:rowOff>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6AA9D155-B202-BE03-C121-3275AB0BBA20}"/>
            </a:ext>
          </a:extLst>
        </xdr:cNvPr>
        <xdr:cNvSpPr txBox="1"/>
      </xdr:nvSpPr>
      <xdr:spPr>
        <a:xfrm>
          <a:off x="1607820" y="4191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</xdr:col>
      <xdr:colOff>784860</xdr:colOff>
      <xdr:row>10</xdr:row>
      <xdr:rowOff>121920</xdr:rowOff>
    </xdr:from>
    <xdr:to>
      <xdr:col>7</xdr:col>
      <xdr:colOff>121920</xdr:colOff>
      <xdr:row>16</xdr:row>
      <xdr:rowOff>114300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472A16AD-55BB-45DA-B3A6-1E291DE2AB5A}"/>
            </a:ext>
          </a:extLst>
        </xdr:cNvPr>
        <xdr:cNvSpPr/>
      </xdr:nvSpPr>
      <xdr:spPr>
        <a:xfrm>
          <a:off x="1577340" y="195072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2</xdr:col>
      <xdr:colOff>53340</xdr:colOff>
      <xdr:row>11</xdr:row>
      <xdr:rowOff>53340</xdr:rowOff>
    </xdr:from>
    <xdr:to>
      <xdr:col>7</xdr:col>
      <xdr:colOff>45720</xdr:colOff>
      <xdr:row>13</xdr:row>
      <xdr:rowOff>0</xdr:rowOff>
    </xdr:to>
    <xdr:sp macro="" textlink="">
      <xdr:nvSpPr>
        <xdr:cNvPr id="8" name="CuadroTexto 7">
          <a:extLst>
            <a:ext uri="{FF2B5EF4-FFF2-40B4-BE49-F238E27FC236}">
              <a16:creationId xmlns:a16="http://schemas.microsoft.com/office/drawing/2014/main" id="{ABC9A43E-8C39-4160-91BE-E1BC51F6A885}"/>
            </a:ext>
          </a:extLst>
        </xdr:cNvPr>
        <xdr:cNvSpPr txBox="1"/>
      </xdr:nvSpPr>
      <xdr:spPr>
        <a:xfrm>
          <a:off x="1638300" y="206502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4</xdr:col>
      <xdr:colOff>655320</xdr:colOff>
      <xdr:row>13</xdr:row>
      <xdr:rowOff>53340</xdr:rowOff>
    </xdr:from>
    <xdr:to>
      <xdr:col>7</xdr:col>
      <xdr:colOff>45720</xdr:colOff>
      <xdr:row>16</xdr:row>
      <xdr:rowOff>7620</xdr:rowOff>
    </xdr:to>
    <xdr:sp macro="" textlink="'Ranking de delegaciones'!E34">
      <xdr:nvSpPr>
        <xdr:cNvPr id="9" name="CuadroTexto 8">
          <a:extLst>
            <a:ext uri="{FF2B5EF4-FFF2-40B4-BE49-F238E27FC236}">
              <a16:creationId xmlns:a16="http://schemas.microsoft.com/office/drawing/2014/main" id="{681F35E1-A3F3-41BB-85EA-CE8349ED9BF9}"/>
            </a:ext>
          </a:extLst>
        </xdr:cNvPr>
        <xdr:cNvSpPr txBox="1"/>
      </xdr:nvSpPr>
      <xdr:spPr>
        <a:xfrm>
          <a:off x="3825240" y="243078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</xdr:colOff>
      <xdr:row>1</xdr:row>
      <xdr:rowOff>83820</xdr:rowOff>
    </xdr:from>
    <xdr:to>
      <xdr:col>13</xdr:col>
      <xdr:colOff>137160</xdr:colOff>
      <xdr:row>7</xdr:row>
      <xdr:rowOff>76200</xdr:rowOff>
    </xdr:to>
    <xdr:sp macro="" textlink="">
      <xdr:nvSpPr>
        <xdr:cNvPr id="10" name="Rectángulo: esquinas redondeadas 9">
          <a:extLst>
            <a:ext uri="{FF2B5EF4-FFF2-40B4-BE49-F238E27FC236}">
              <a16:creationId xmlns:a16="http://schemas.microsoft.com/office/drawing/2014/main" id="{99702E67-9B5D-4EC1-ACBD-98618394CDBD}"/>
            </a:ext>
          </a:extLst>
        </xdr:cNvPr>
        <xdr:cNvSpPr/>
      </xdr:nvSpPr>
      <xdr:spPr>
        <a:xfrm>
          <a:off x="6347460" y="26670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68580</xdr:colOff>
      <xdr:row>2</xdr:row>
      <xdr:rowOff>15240</xdr:rowOff>
    </xdr:from>
    <xdr:to>
      <xdr:col>13</xdr:col>
      <xdr:colOff>60960</xdr:colOff>
      <xdr:row>3</xdr:row>
      <xdr:rowOff>144780</xdr:rowOff>
    </xdr:to>
    <xdr:sp macro="" textlink="">
      <xdr:nvSpPr>
        <xdr:cNvPr id="11" name="CuadroTexto 10">
          <a:extLst>
            <a:ext uri="{FF2B5EF4-FFF2-40B4-BE49-F238E27FC236}">
              <a16:creationId xmlns:a16="http://schemas.microsoft.com/office/drawing/2014/main" id="{2FC6A63D-09D9-4DDC-8482-A90863D715CD}"/>
            </a:ext>
          </a:extLst>
        </xdr:cNvPr>
        <xdr:cNvSpPr txBox="1"/>
      </xdr:nvSpPr>
      <xdr:spPr>
        <a:xfrm>
          <a:off x="6408420" y="38100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7</xdr:col>
      <xdr:colOff>739140</xdr:colOff>
      <xdr:row>10</xdr:row>
      <xdr:rowOff>68580</xdr:rowOff>
    </xdr:from>
    <xdr:to>
      <xdr:col>13</xdr:col>
      <xdr:colOff>76200</xdr:colOff>
      <xdr:row>16</xdr:row>
      <xdr:rowOff>60960</xdr:rowOff>
    </xdr:to>
    <xdr:sp macro="" textlink="">
      <xdr:nvSpPr>
        <xdr:cNvPr id="13" name="Rectángulo: esquinas redondeadas 12">
          <a:extLst>
            <a:ext uri="{FF2B5EF4-FFF2-40B4-BE49-F238E27FC236}">
              <a16:creationId xmlns:a16="http://schemas.microsoft.com/office/drawing/2014/main" id="{6EC0248D-EB84-4C8B-85BD-ABCA7218BE6A}"/>
            </a:ext>
          </a:extLst>
        </xdr:cNvPr>
        <xdr:cNvSpPr/>
      </xdr:nvSpPr>
      <xdr:spPr>
        <a:xfrm>
          <a:off x="6286500" y="1897380"/>
          <a:ext cx="4091940" cy="1089660"/>
        </a:xfrm>
        <a:prstGeom prst="round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8</xdr:col>
      <xdr:colOff>7620</xdr:colOff>
      <xdr:row>11</xdr:row>
      <xdr:rowOff>0</xdr:rowOff>
    </xdr:from>
    <xdr:to>
      <xdr:col>13</xdr:col>
      <xdr:colOff>0</xdr:colOff>
      <xdr:row>12</xdr:row>
      <xdr:rowOff>129540</xdr:rowOff>
    </xdr:to>
    <xdr:sp macro="" textlink="">
      <xdr:nvSpPr>
        <xdr:cNvPr id="14" name="CuadroTexto 13">
          <a:extLst>
            <a:ext uri="{FF2B5EF4-FFF2-40B4-BE49-F238E27FC236}">
              <a16:creationId xmlns:a16="http://schemas.microsoft.com/office/drawing/2014/main" id="{36C36264-CCDF-4096-B3CD-236649DDDB55}"/>
            </a:ext>
          </a:extLst>
        </xdr:cNvPr>
        <xdr:cNvSpPr txBox="1"/>
      </xdr:nvSpPr>
      <xdr:spPr>
        <a:xfrm>
          <a:off x="6347460" y="2011680"/>
          <a:ext cx="3954780" cy="3124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800" b="1"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800" b="1" baseline="0"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9</xdr:col>
      <xdr:colOff>121920</xdr:colOff>
      <xdr:row>12</xdr:row>
      <xdr:rowOff>175260</xdr:rowOff>
    </xdr:from>
    <xdr:to>
      <xdr:col>11</xdr:col>
      <xdr:colOff>640080</xdr:colOff>
      <xdr:row>15</xdr:row>
      <xdr:rowOff>129540</xdr:rowOff>
    </xdr:to>
    <xdr:sp macro="" textlink="'Ranking de Servicios'!E16">
      <xdr:nvSpPr>
        <xdr:cNvPr id="15" name="CuadroTexto 14">
          <a:extLst>
            <a:ext uri="{FF2B5EF4-FFF2-40B4-BE49-F238E27FC236}">
              <a16:creationId xmlns:a16="http://schemas.microsoft.com/office/drawing/2014/main" id="{680396CA-F071-40FB-A229-3E21C5E9ED9D}"/>
            </a:ext>
          </a:extLst>
        </xdr:cNvPr>
        <xdr:cNvSpPr txBox="1"/>
      </xdr:nvSpPr>
      <xdr:spPr>
        <a:xfrm>
          <a:off x="7254240" y="2369820"/>
          <a:ext cx="210312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800" b="1"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38100</xdr:colOff>
      <xdr:row>13</xdr:row>
      <xdr:rowOff>53340</xdr:rowOff>
    </xdr:from>
    <xdr:to>
      <xdr:col>4</xdr:col>
      <xdr:colOff>342900</xdr:colOff>
      <xdr:row>16</xdr:row>
      <xdr:rowOff>7620</xdr:rowOff>
    </xdr:to>
    <xdr:sp macro="" textlink="'Ranking de delegaciones'!D34">
      <xdr:nvSpPr>
        <xdr:cNvPr id="16" name="CuadroTexto 15">
          <a:extLst>
            <a:ext uri="{FF2B5EF4-FFF2-40B4-BE49-F238E27FC236}">
              <a16:creationId xmlns:a16="http://schemas.microsoft.com/office/drawing/2014/main" id="{218B5F3B-AF3B-4B0A-899D-9E0BF4329C2E}"/>
            </a:ext>
          </a:extLst>
        </xdr:cNvPr>
        <xdr:cNvSpPr txBox="1"/>
      </xdr:nvSpPr>
      <xdr:spPr>
        <a:xfrm>
          <a:off x="1623060" y="243078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4</xdr:col>
      <xdr:colOff>624840</xdr:colOff>
      <xdr:row>4</xdr:row>
      <xdr:rowOff>38100</xdr:rowOff>
    </xdr:from>
    <xdr:to>
      <xdr:col>7</xdr:col>
      <xdr:colOff>15240</xdr:colOff>
      <xdr:row>6</xdr:row>
      <xdr:rowOff>175260</xdr:rowOff>
    </xdr:to>
    <xdr:sp macro="" textlink="'Ranking de delegaciones'!B28">
      <xdr:nvSpPr>
        <xdr:cNvPr id="17" name="CuadroTexto 16">
          <a:extLst>
            <a:ext uri="{FF2B5EF4-FFF2-40B4-BE49-F238E27FC236}">
              <a16:creationId xmlns:a16="http://schemas.microsoft.com/office/drawing/2014/main" id="{0618113B-8F2D-4DE1-B08E-EC156AA89D47}"/>
            </a:ext>
          </a:extLst>
        </xdr:cNvPr>
        <xdr:cNvSpPr txBox="1"/>
      </xdr:nvSpPr>
      <xdr:spPr>
        <a:xfrm>
          <a:off x="3794760" y="7696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2</xdr:col>
      <xdr:colOff>15240</xdr:colOff>
      <xdr:row>4</xdr:row>
      <xdr:rowOff>38100</xdr:rowOff>
    </xdr:from>
    <xdr:to>
      <xdr:col>4</xdr:col>
      <xdr:colOff>320040</xdr:colOff>
      <xdr:row>6</xdr:row>
      <xdr:rowOff>175260</xdr:rowOff>
    </xdr:to>
    <xdr:sp macro="" textlink="'Ranking de delegaciones'!A28">
      <xdr:nvSpPr>
        <xdr:cNvPr id="18" name="CuadroTexto 17">
          <a:extLst>
            <a:ext uri="{FF2B5EF4-FFF2-40B4-BE49-F238E27FC236}">
              <a16:creationId xmlns:a16="http://schemas.microsoft.com/office/drawing/2014/main" id="{77278733-4FDC-4438-88ED-B9510EAF48FF}"/>
            </a:ext>
          </a:extLst>
        </xdr:cNvPr>
        <xdr:cNvSpPr txBox="1"/>
      </xdr:nvSpPr>
      <xdr:spPr>
        <a:xfrm>
          <a:off x="1600200" y="7696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662940</xdr:colOff>
      <xdr:row>4</xdr:row>
      <xdr:rowOff>0</xdr:rowOff>
    </xdr:from>
    <xdr:to>
      <xdr:col>13</xdr:col>
      <xdr:colOff>53340</xdr:colOff>
      <xdr:row>6</xdr:row>
      <xdr:rowOff>137160</xdr:rowOff>
    </xdr:to>
    <xdr:sp macro="" textlink="'Ranking de Servicios'!E8">
      <xdr:nvSpPr>
        <xdr:cNvPr id="3" name="CuadroTexto 2">
          <a:extLst>
            <a:ext uri="{FF2B5EF4-FFF2-40B4-BE49-F238E27FC236}">
              <a16:creationId xmlns:a16="http://schemas.microsoft.com/office/drawing/2014/main" id="{0D5DACA7-4763-422B-A40A-08AD48FAA136}"/>
            </a:ext>
          </a:extLst>
        </xdr:cNvPr>
        <xdr:cNvSpPr txBox="1"/>
      </xdr:nvSpPr>
      <xdr:spPr>
        <a:xfrm>
          <a:off x="8587740" y="731520"/>
          <a:ext cx="176784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76200</xdr:colOff>
      <xdr:row>4</xdr:row>
      <xdr:rowOff>0</xdr:rowOff>
    </xdr:from>
    <xdr:to>
      <xdr:col>10</xdr:col>
      <xdr:colOff>381000</xdr:colOff>
      <xdr:row>6</xdr:row>
      <xdr:rowOff>137160</xdr:rowOff>
    </xdr:to>
    <xdr:sp macro="" textlink="'Ranking de Servicios'!D8">
      <xdr:nvSpPr>
        <xdr:cNvPr id="4" name="CuadroTexto 3">
          <a:extLst>
            <a:ext uri="{FF2B5EF4-FFF2-40B4-BE49-F238E27FC236}">
              <a16:creationId xmlns:a16="http://schemas.microsoft.com/office/drawing/2014/main" id="{1913509C-FE01-4796-8E19-5C453600F5ED}"/>
            </a:ext>
          </a:extLst>
        </xdr:cNvPr>
        <xdr:cNvSpPr txBox="1"/>
      </xdr:nvSpPr>
      <xdr:spPr>
        <a:xfrm>
          <a:off x="6416040" y="731520"/>
          <a:ext cx="1889760" cy="5029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400" b="1" i="0" u="none" strike="noStrike">
              <a:solidFill>
                <a:srgbClr val="000000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Culturales Derecho Hab Publ</a:t>
          </a:fld>
          <a:endParaRPr lang="es-MX" sz="1400" b="1"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289560</xdr:colOff>
      <xdr:row>4</xdr:row>
      <xdr:rowOff>68580</xdr:rowOff>
    </xdr:from>
    <xdr:to>
      <xdr:col>11</xdr:col>
      <xdr:colOff>175260</xdr:colOff>
      <xdr:row>6</xdr:row>
      <xdr:rowOff>83820</xdr:rowOff>
    </xdr:to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D088F506-F6BE-ABE0-2CA3-FF5C384A37AA}"/>
            </a:ext>
          </a:extLst>
        </xdr:cNvPr>
        <xdr:cNvSpPr txBox="1"/>
      </xdr:nvSpPr>
      <xdr:spPr>
        <a:xfrm>
          <a:off x="8214360" y="80010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213360</xdr:colOff>
      <xdr:row>4</xdr:row>
      <xdr:rowOff>83820</xdr:rowOff>
    </xdr:from>
    <xdr:to>
      <xdr:col>5</xdr:col>
      <xdr:colOff>99060</xdr:colOff>
      <xdr:row>6</xdr:row>
      <xdr:rowOff>99060</xdr:rowOff>
    </xdr:to>
    <xdr:sp macro="" textlink="">
      <xdr:nvSpPr>
        <xdr:cNvPr id="19" name="CuadroTexto 18">
          <a:extLst>
            <a:ext uri="{FF2B5EF4-FFF2-40B4-BE49-F238E27FC236}">
              <a16:creationId xmlns:a16="http://schemas.microsoft.com/office/drawing/2014/main" id="{29C074E2-799A-4044-AA88-C4E3A7151771}"/>
            </a:ext>
          </a:extLst>
        </xdr:cNvPr>
        <xdr:cNvSpPr txBox="1"/>
      </xdr:nvSpPr>
      <xdr:spPr>
        <a:xfrm>
          <a:off x="3383280" y="8153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4</xdr:col>
      <xdr:colOff>220980</xdr:colOff>
      <xdr:row>13</xdr:row>
      <xdr:rowOff>114300</xdr:rowOff>
    </xdr:from>
    <xdr:to>
      <xdr:col>5</xdr:col>
      <xdr:colOff>106680</xdr:colOff>
      <xdr:row>15</xdr:row>
      <xdr:rowOff>129540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EBC9B4B8-B026-4F57-904A-9A3BB13F899B}"/>
            </a:ext>
          </a:extLst>
        </xdr:cNvPr>
        <xdr:cNvSpPr txBox="1"/>
      </xdr:nvSpPr>
      <xdr:spPr>
        <a:xfrm>
          <a:off x="3390900" y="2491740"/>
          <a:ext cx="678180" cy="3810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0</xdr:row>
      <xdr:rowOff>19050</xdr:rowOff>
    </xdr:from>
    <xdr:to>
      <xdr:col>26</xdr:col>
      <xdr:colOff>390525</xdr:colOff>
      <xdr:row>5</xdr:row>
      <xdr:rowOff>16934</xdr:rowOff>
    </xdr:to>
    <xdr:sp macro="" textlink="">
      <xdr:nvSpPr>
        <xdr:cNvPr id="3" name="Rectángulo 2">
          <a:extLst>
            <a:ext uri="{FF2B5EF4-FFF2-40B4-BE49-F238E27FC236}">
              <a16:creationId xmlns:a16="http://schemas.microsoft.com/office/drawing/2014/main" id="{5CB95077-019B-776F-4808-5F5AE9CB3788}"/>
            </a:ext>
          </a:extLst>
        </xdr:cNvPr>
        <xdr:cNvSpPr/>
      </xdr:nvSpPr>
      <xdr:spPr>
        <a:xfrm>
          <a:off x="9525" y="19050"/>
          <a:ext cx="20935950" cy="902759"/>
        </a:xfrm>
        <a:prstGeom prst="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483870</xdr:colOff>
      <xdr:row>9</xdr:row>
      <xdr:rowOff>39795</xdr:rowOff>
    </xdr:from>
    <xdr:to>
      <xdr:col>21</xdr:col>
      <xdr:colOff>626744</xdr:colOff>
      <xdr:row>23</xdr:row>
      <xdr:rowOff>48261</xdr:rowOff>
    </xdr:to>
    <xdr:sp macro="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D919ED6F-68FC-214C-1580-AD7158119916}"/>
            </a:ext>
          </a:extLst>
        </xdr:cNvPr>
        <xdr:cNvSpPr/>
      </xdr:nvSpPr>
      <xdr:spPr>
        <a:xfrm>
          <a:off x="2861310" y="1685715"/>
          <a:ext cx="14407514" cy="2568786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0</xdr:colOff>
      <xdr:row>6</xdr:row>
      <xdr:rowOff>33867</xdr:rowOff>
    </xdr:from>
    <xdr:to>
      <xdr:col>3</xdr:col>
      <xdr:colOff>8466</xdr:colOff>
      <xdr:row>39</xdr:row>
      <xdr:rowOff>160020</xdr:rowOff>
    </xdr:to>
    <xdr:sp macro="" textlink="">
      <xdr:nvSpPr>
        <xdr:cNvPr id="6" name="Rectángulo: esquinas redondeadas 5">
          <a:extLst>
            <a:ext uri="{FF2B5EF4-FFF2-40B4-BE49-F238E27FC236}">
              <a16:creationId xmlns:a16="http://schemas.microsoft.com/office/drawing/2014/main" id="{B7CD1729-C996-D9F3-B9D8-D8EFE98BE8BB}"/>
            </a:ext>
          </a:extLst>
        </xdr:cNvPr>
        <xdr:cNvSpPr/>
      </xdr:nvSpPr>
      <xdr:spPr>
        <a:xfrm>
          <a:off x="0" y="1131147"/>
          <a:ext cx="2385906" cy="6161193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3</xdr:col>
      <xdr:colOff>523028</xdr:colOff>
      <xdr:row>24</xdr:row>
      <xdr:rowOff>31328</xdr:rowOff>
    </xdr:from>
    <xdr:to>
      <xdr:col>9</xdr:col>
      <xdr:colOff>168488</xdr:colOff>
      <xdr:row>39</xdr:row>
      <xdr:rowOff>166582</xdr:rowOff>
    </xdr:to>
    <xdr:sp macro="" textlink="">
      <xdr:nvSpPr>
        <xdr:cNvPr id="7" name="Rectángulo: esquinas redondeadas 6">
          <a:extLst>
            <a:ext uri="{FF2B5EF4-FFF2-40B4-BE49-F238E27FC236}">
              <a16:creationId xmlns:a16="http://schemas.microsoft.com/office/drawing/2014/main" id="{C4D368C1-7846-44F6-A10E-4FAAAC7608BB}"/>
            </a:ext>
          </a:extLst>
        </xdr:cNvPr>
        <xdr:cNvSpPr/>
      </xdr:nvSpPr>
      <xdr:spPr>
        <a:xfrm>
          <a:off x="2900468" y="4420448"/>
          <a:ext cx="4400340" cy="2878454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630979</xdr:colOff>
      <xdr:row>24</xdr:row>
      <xdr:rowOff>86149</xdr:rowOff>
    </xdr:from>
    <xdr:to>
      <xdr:col>15</xdr:col>
      <xdr:colOff>255270</xdr:colOff>
      <xdr:row>39</xdr:row>
      <xdr:rowOff>161290</xdr:rowOff>
    </xdr:to>
    <xdr:sp macro="" textlink="">
      <xdr:nvSpPr>
        <xdr:cNvPr id="8" name="Rectángulo: esquinas redondeadas 7">
          <a:extLst>
            <a:ext uri="{FF2B5EF4-FFF2-40B4-BE49-F238E27FC236}">
              <a16:creationId xmlns:a16="http://schemas.microsoft.com/office/drawing/2014/main" id="{8F1A988F-BACB-44D8-BA75-3E0FB626005D}"/>
            </a:ext>
          </a:extLst>
        </xdr:cNvPr>
        <xdr:cNvSpPr/>
      </xdr:nvSpPr>
      <xdr:spPr>
        <a:xfrm>
          <a:off x="7763299" y="4475269"/>
          <a:ext cx="4379171" cy="2818341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16</xdr:col>
      <xdr:colOff>144146</xdr:colOff>
      <xdr:row>24</xdr:row>
      <xdr:rowOff>11218</xdr:rowOff>
    </xdr:from>
    <xdr:to>
      <xdr:col>21</xdr:col>
      <xdr:colOff>582297</xdr:colOff>
      <xdr:row>39</xdr:row>
      <xdr:rowOff>136948</xdr:rowOff>
    </xdr:to>
    <xdr:sp macro="" textlink="">
      <xdr:nvSpPr>
        <xdr:cNvPr id="9" name="Rectángulo: esquinas redondeadas 8">
          <a:extLst>
            <a:ext uri="{FF2B5EF4-FFF2-40B4-BE49-F238E27FC236}">
              <a16:creationId xmlns:a16="http://schemas.microsoft.com/office/drawing/2014/main" id="{46E727AA-3279-4BFD-8C51-67F7F3A3D412}"/>
            </a:ext>
          </a:extLst>
        </xdr:cNvPr>
        <xdr:cNvSpPr/>
      </xdr:nvSpPr>
      <xdr:spPr>
        <a:xfrm>
          <a:off x="12823826" y="4400338"/>
          <a:ext cx="4400551" cy="2868930"/>
        </a:xfrm>
        <a:prstGeom prst="roundRect">
          <a:avLst/>
        </a:prstGeom>
        <a:solidFill>
          <a:srgbClr val="90E0EF"/>
        </a:solidFill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4</xdr:col>
      <xdr:colOff>569594</xdr:colOff>
      <xdr:row>9</xdr:row>
      <xdr:rowOff>81915</xdr:rowOff>
    </xdr:from>
    <xdr:to>
      <xdr:col>20</xdr:col>
      <xdr:colOff>685800</xdr:colOff>
      <xdr:row>22</xdr:row>
      <xdr:rowOff>158115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F03C35A4-CEA1-4E5A-B8AE-CB9D4CF1F09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655321</xdr:colOff>
      <xdr:row>25</xdr:row>
      <xdr:rowOff>51434</xdr:rowOff>
    </xdr:from>
    <xdr:to>
      <xdr:col>8</xdr:col>
      <xdr:colOff>742951</xdr:colOff>
      <xdr:row>38</xdr:row>
      <xdr:rowOff>177165</xdr:rowOff>
    </xdr:to>
    <xdr:graphicFrame macro="">
      <xdr:nvGraphicFramePr>
        <xdr:cNvPr id="11" name="Gráfico 10">
          <a:extLst>
            <a:ext uri="{FF2B5EF4-FFF2-40B4-BE49-F238E27FC236}">
              <a16:creationId xmlns:a16="http://schemas.microsoft.com/office/drawing/2014/main" id="{FA2D97AD-47B7-4518-B4D8-4E7CAC4E3A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733425</xdr:colOff>
      <xdr:row>25</xdr:row>
      <xdr:rowOff>81915</xdr:rowOff>
    </xdr:from>
    <xdr:to>
      <xdr:col>15</xdr:col>
      <xdr:colOff>150495</xdr:colOff>
      <xdr:row>39</xdr:row>
      <xdr:rowOff>53340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D01477AF-2F3D-4354-93D8-4B931113FA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16</xdr:col>
      <xdr:colOff>137160</xdr:colOff>
      <xdr:row>24</xdr:row>
      <xdr:rowOff>68580</xdr:rowOff>
    </xdr:from>
    <xdr:to>
      <xdr:col>21</xdr:col>
      <xdr:colOff>518160</xdr:colOff>
      <xdr:row>40</xdr:row>
      <xdr:rowOff>7620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F260C5AC-0E5E-4E25-B0C7-41AD4199159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4</xdr:col>
      <xdr:colOff>701040</xdr:colOff>
      <xdr:row>5</xdr:row>
      <xdr:rowOff>106680</xdr:rowOff>
    </xdr:from>
    <xdr:to>
      <xdr:col>8</xdr:col>
      <xdr:colOff>274320</xdr:colOff>
      <xdr:row>8</xdr:row>
      <xdr:rowOff>99060</xdr:rowOff>
    </xdr:to>
    <xdr:sp macro="" textlink="">
      <xdr:nvSpPr>
        <xdr:cNvPr id="14" name="Rectángulo: esquinas redondeadas 13">
          <a:extLst>
            <a:ext uri="{FF2B5EF4-FFF2-40B4-BE49-F238E27FC236}">
              <a16:creationId xmlns:a16="http://schemas.microsoft.com/office/drawing/2014/main" id="{EF7AD378-F1B7-3ED9-225E-AD5FC01CF983}"/>
            </a:ext>
          </a:extLst>
        </xdr:cNvPr>
        <xdr:cNvSpPr/>
      </xdr:nvSpPr>
      <xdr:spPr>
        <a:xfrm>
          <a:off x="3870960" y="102108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9</xdr:col>
      <xdr:colOff>17780</xdr:colOff>
      <xdr:row>5</xdr:row>
      <xdr:rowOff>106680</xdr:rowOff>
    </xdr:from>
    <xdr:to>
      <xdr:col>12</xdr:col>
      <xdr:colOff>383540</xdr:colOff>
      <xdr:row>8</xdr:row>
      <xdr:rowOff>99060</xdr:rowOff>
    </xdr:to>
    <xdr:sp macro="" textlink="">
      <xdr:nvSpPr>
        <xdr:cNvPr id="15" name="Rectángulo: esquinas redondeadas 14">
          <a:extLst>
            <a:ext uri="{FF2B5EF4-FFF2-40B4-BE49-F238E27FC236}">
              <a16:creationId xmlns:a16="http://schemas.microsoft.com/office/drawing/2014/main" id="{5C2F5B5B-4BC0-49CE-A38B-4528A111124B}"/>
            </a:ext>
          </a:extLst>
        </xdr:cNvPr>
        <xdr:cNvSpPr/>
      </xdr:nvSpPr>
      <xdr:spPr>
        <a:xfrm>
          <a:off x="7150100" y="102108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>
            <a:solidFill>
              <a:srgbClr val="90E0EF"/>
            </a:solidFill>
          </a:endParaRPr>
        </a:p>
      </xdr:txBody>
    </xdr:sp>
    <xdr:clientData/>
  </xdr:twoCellAnchor>
  <xdr:twoCellAnchor>
    <xdr:from>
      <xdr:col>17</xdr:col>
      <xdr:colOff>236220</xdr:colOff>
      <xdr:row>5</xdr:row>
      <xdr:rowOff>121920</xdr:rowOff>
    </xdr:from>
    <xdr:to>
      <xdr:col>20</xdr:col>
      <xdr:colOff>601980</xdr:colOff>
      <xdr:row>8</xdr:row>
      <xdr:rowOff>114300</xdr:rowOff>
    </xdr:to>
    <xdr:sp macro="" textlink="">
      <xdr:nvSpPr>
        <xdr:cNvPr id="16" name="Rectángulo: esquinas redondeadas 15">
          <a:extLst>
            <a:ext uri="{FF2B5EF4-FFF2-40B4-BE49-F238E27FC236}">
              <a16:creationId xmlns:a16="http://schemas.microsoft.com/office/drawing/2014/main" id="{D6B82C5D-C76A-4484-BA67-822E672E2A26}"/>
            </a:ext>
          </a:extLst>
        </xdr:cNvPr>
        <xdr:cNvSpPr/>
      </xdr:nvSpPr>
      <xdr:spPr>
        <a:xfrm>
          <a:off x="13708380" y="103632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13</xdr:col>
      <xdr:colOff>127000</xdr:colOff>
      <xdr:row>5</xdr:row>
      <xdr:rowOff>114300</xdr:rowOff>
    </xdr:from>
    <xdr:to>
      <xdr:col>16</xdr:col>
      <xdr:colOff>492760</xdr:colOff>
      <xdr:row>8</xdr:row>
      <xdr:rowOff>106680</xdr:rowOff>
    </xdr:to>
    <xdr:sp macro="" textlink="">
      <xdr:nvSpPr>
        <xdr:cNvPr id="17" name="Rectángulo: esquinas redondeadas 16">
          <a:extLst>
            <a:ext uri="{FF2B5EF4-FFF2-40B4-BE49-F238E27FC236}">
              <a16:creationId xmlns:a16="http://schemas.microsoft.com/office/drawing/2014/main" id="{B64E8E1D-A9A9-4AA4-8D7E-041E0EA691EA}"/>
            </a:ext>
          </a:extLst>
        </xdr:cNvPr>
        <xdr:cNvSpPr/>
      </xdr:nvSpPr>
      <xdr:spPr>
        <a:xfrm>
          <a:off x="10429240" y="1028700"/>
          <a:ext cx="2743200" cy="541020"/>
        </a:xfrm>
        <a:prstGeom prst="roundRect">
          <a:avLst/>
        </a:prstGeom>
        <a:solidFill>
          <a:srgbClr val="90E0EF"/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s-MX" sz="1100"/>
        </a:p>
      </xdr:txBody>
    </xdr:sp>
    <xdr:clientData/>
  </xdr:twoCellAnchor>
  <xdr:twoCellAnchor>
    <xdr:from>
      <xdr:col>0</xdr:col>
      <xdr:colOff>121920</xdr:colOff>
      <xdr:row>1</xdr:row>
      <xdr:rowOff>38100</xdr:rowOff>
    </xdr:from>
    <xdr:to>
      <xdr:col>18</xdr:col>
      <xdr:colOff>144780</xdr:colOff>
      <xdr:row>4</xdr:row>
      <xdr:rowOff>22860</xdr:rowOff>
    </xdr:to>
    <xdr:sp macro="" textlink="">
      <xdr:nvSpPr>
        <xdr:cNvPr id="2" name="CuadroTexto 1">
          <a:extLst>
            <a:ext uri="{FF2B5EF4-FFF2-40B4-BE49-F238E27FC236}">
              <a16:creationId xmlns:a16="http://schemas.microsoft.com/office/drawing/2014/main" id="{5070F730-A388-FA3A-C892-B9D0C4DECA29}"/>
            </a:ext>
          </a:extLst>
        </xdr:cNvPr>
        <xdr:cNvSpPr txBox="1"/>
      </xdr:nvSpPr>
      <xdr:spPr>
        <a:xfrm>
          <a:off x="121920" y="220980"/>
          <a:ext cx="14287500" cy="5334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es-MX" sz="2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ISSSTE: Evaluación de Servicios Culturales, Deportivos y Sociales a Nivel Nacional (2013 - 2025)</a:t>
          </a:r>
        </a:p>
      </xdr:txBody>
    </xdr:sp>
    <xdr:clientData/>
  </xdr:twoCellAnchor>
  <xdr:twoCellAnchor>
    <xdr:from>
      <xdr:col>5</xdr:col>
      <xdr:colOff>144780</xdr:colOff>
      <xdr:row>5</xdr:row>
      <xdr:rowOff>114300</xdr:rowOff>
    </xdr:from>
    <xdr:to>
      <xdr:col>8</xdr:col>
      <xdr:colOff>15240</xdr:colOff>
      <xdr:row>7</xdr:row>
      <xdr:rowOff>60960</xdr:rowOff>
    </xdr:to>
    <xdr:sp macro="" textlink="">
      <xdr:nvSpPr>
        <xdr:cNvPr id="18" name="CuadroTexto 17">
          <a:extLst>
            <a:ext uri="{FF2B5EF4-FFF2-40B4-BE49-F238E27FC236}">
              <a16:creationId xmlns:a16="http://schemas.microsoft.com/office/drawing/2014/main" id="{EB17011D-98B6-49DD-8403-A54240E3B2D2}"/>
            </a:ext>
          </a:extLst>
        </xdr:cNvPr>
        <xdr:cNvSpPr txBox="1"/>
      </xdr:nvSpPr>
      <xdr:spPr>
        <a:xfrm>
          <a:off x="4107180" y="1028700"/>
          <a:ext cx="22479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Total</a:t>
          </a:r>
          <a:r>
            <a:rPr lang="es-MX" sz="14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de servicios</a:t>
          </a:r>
          <a:endParaRPr lang="es-MX" sz="14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5</xdr:col>
      <xdr:colOff>548640</xdr:colOff>
      <xdr:row>6</xdr:row>
      <xdr:rowOff>152400</xdr:rowOff>
    </xdr:from>
    <xdr:to>
      <xdr:col>7</xdr:col>
      <xdr:colOff>274320</xdr:colOff>
      <xdr:row>8</xdr:row>
      <xdr:rowOff>114300</xdr:rowOff>
    </xdr:to>
    <xdr:sp macro="" textlink="'Ranking de Servicios'!E16">
      <xdr:nvSpPr>
        <xdr:cNvPr id="19" name="CuadroTexto 18">
          <a:extLst>
            <a:ext uri="{FF2B5EF4-FFF2-40B4-BE49-F238E27FC236}">
              <a16:creationId xmlns:a16="http://schemas.microsoft.com/office/drawing/2014/main" id="{B60A494A-2C76-4E7F-913F-44F36029D2C7}"/>
            </a:ext>
          </a:extLst>
        </xdr:cNvPr>
        <xdr:cNvSpPr txBox="1"/>
      </xdr:nvSpPr>
      <xdr:spPr>
        <a:xfrm>
          <a:off x="4511040" y="1249680"/>
          <a:ext cx="1310640" cy="32766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73561CD5-4F8D-4C7E-B681-88707DD3FB18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pPr algn="ctr"/>
            <a:t>56915689</a:t>
          </a:fld>
          <a:endParaRPr lang="es-MX" sz="1600" b="1">
            <a:solidFill>
              <a:srgbClr val="0077B6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685800</xdr:colOff>
      <xdr:row>5</xdr:row>
      <xdr:rowOff>60960</xdr:rowOff>
    </xdr:from>
    <xdr:to>
      <xdr:col>12</xdr:col>
      <xdr:colOff>563880</xdr:colOff>
      <xdr:row>7</xdr:row>
      <xdr:rowOff>7620</xdr:rowOff>
    </xdr:to>
    <xdr:sp macro="" textlink="">
      <xdr:nvSpPr>
        <xdr:cNvPr id="20" name="CuadroTexto 19">
          <a:extLst>
            <a:ext uri="{FF2B5EF4-FFF2-40B4-BE49-F238E27FC236}">
              <a16:creationId xmlns:a16="http://schemas.microsoft.com/office/drawing/2014/main" id="{63F4D61A-C99E-46F7-93DB-6D7FA2BF4BC7}"/>
            </a:ext>
          </a:extLst>
        </xdr:cNvPr>
        <xdr:cNvSpPr txBox="1"/>
      </xdr:nvSpPr>
      <xdr:spPr>
        <a:xfrm>
          <a:off x="7025640" y="975360"/>
          <a:ext cx="304800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Delegación con más servicios</a:t>
          </a:r>
        </a:p>
      </xdr:txBody>
    </xdr:sp>
    <xdr:clientData/>
  </xdr:twoCellAnchor>
  <xdr:twoCellAnchor>
    <xdr:from>
      <xdr:col>10</xdr:col>
      <xdr:colOff>735352</xdr:colOff>
      <xdr:row>6</xdr:row>
      <xdr:rowOff>22860</xdr:rowOff>
    </xdr:from>
    <xdr:to>
      <xdr:col>12</xdr:col>
      <xdr:colOff>693420</xdr:colOff>
      <xdr:row>8</xdr:row>
      <xdr:rowOff>160020</xdr:rowOff>
    </xdr:to>
    <xdr:sp macro="" textlink="'Ranking de delegaciones'!B28">
      <xdr:nvSpPr>
        <xdr:cNvPr id="21" name="CuadroTexto 20">
          <a:extLst>
            <a:ext uri="{FF2B5EF4-FFF2-40B4-BE49-F238E27FC236}">
              <a16:creationId xmlns:a16="http://schemas.microsoft.com/office/drawing/2014/main" id="{20CE04F0-7C81-42F8-8CC6-C14EF35FA01A}"/>
            </a:ext>
          </a:extLst>
        </xdr:cNvPr>
        <xdr:cNvSpPr txBox="1"/>
      </xdr:nvSpPr>
      <xdr:spPr>
        <a:xfrm>
          <a:off x="8660152" y="1120140"/>
          <a:ext cx="1543028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50E00774-0124-44E7-BA7E-4D5884A39B98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12806883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8</xdr:col>
      <xdr:colOff>758476</xdr:colOff>
      <xdr:row>6</xdr:row>
      <xdr:rowOff>22860</xdr:rowOff>
    </xdr:from>
    <xdr:to>
      <xdr:col>11</xdr:col>
      <xdr:colOff>30480</xdr:colOff>
      <xdr:row>8</xdr:row>
      <xdr:rowOff>160020</xdr:rowOff>
    </xdr:to>
    <xdr:sp macro="" textlink="'Ranking de delegaciones'!A28">
      <xdr:nvSpPr>
        <xdr:cNvPr id="22" name="CuadroTexto 21">
          <a:extLst>
            <a:ext uri="{FF2B5EF4-FFF2-40B4-BE49-F238E27FC236}">
              <a16:creationId xmlns:a16="http://schemas.microsoft.com/office/drawing/2014/main" id="{35F3BE94-4320-4318-8306-014D35B353FD}"/>
            </a:ext>
          </a:extLst>
        </xdr:cNvPr>
        <xdr:cNvSpPr txBox="1"/>
      </xdr:nvSpPr>
      <xdr:spPr>
        <a:xfrm>
          <a:off x="7098316" y="1120140"/>
          <a:ext cx="1649444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2BAB72-648C-40A5-8F51-EC6F8C7E9110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Oficinas Centrales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10</xdr:col>
      <xdr:colOff>612022</xdr:colOff>
      <xdr:row>6</xdr:row>
      <xdr:rowOff>76200</xdr:rowOff>
    </xdr:from>
    <xdr:to>
      <xdr:col>11</xdr:col>
      <xdr:colOff>411479</xdr:colOff>
      <xdr:row>8</xdr:row>
      <xdr:rowOff>91440</xdr:rowOff>
    </xdr:to>
    <xdr:sp macro="" textlink="">
      <xdr:nvSpPr>
        <xdr:cNvPr id="23" name="CuadroTexto 22">
          <a:extLst>
            <a:ext uri="{FF2B5EF4-FFF2-40B4-BE49-F238E27FC236}">
              <a16:creationId xmlns:a16="http://schemas.microsoft.com/office/drawing/2014/main" id="{DDD6571C-2D19-496C-81DB-73A7AA499C47}"/>
            </a:ext>
          </a:extLst>
        </xdr:cNvPr>
        <xdr:cNvSpPr txBox="1"/>
      </xdr:nvSpPr>
      <xdr:spPr>
        <a:xfrm>
          <a:off x="8536822" y="1173480"/>
          <a:ext cx="591937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13</xdr:col>
      <xdr:colOff>45720</xdr:colOff>
      <xdr:row>5</xdr:row>
      <xdr:rowOff>91440</xdr:rowOff>
    </xdr:from>
    <xdr:to>
      <xdr:col>16</xdr:col>
      <xdr:colOff>632460</xdr:colOff>
      <xdr:row>7</xdr:row>
      <xdr:rowOff>38100</xdr:rowOff>
    </xdr:to>
    <xdr:sp macro="" textlink="">
      <xdr:nvSpPr>
        <xdr:cNvPr id="24" name="CuadroTexto 23">
          <a:extLst>
            <a:ext uri="{FF2B5EF4-FFF2-40B4-BE49-F238E27FC236}">
              <a16:creationId xmlns:a16="http://schemas.microsoft.com/office/drawing/2014/main" id="{EB1BFC0D-52CB-4D8D-9C10-4E75CDD7F142}"/>
            </a:ext>
          </a:extLst>
        </xdr:cNvPr>
        <xdr:cNvSpPr txBox="1"/>
      </xdr:nvSpPr>
      <xdr:spPr>
        <a:xfrm>
          <a:off x="10347960" y="1005840"/>
          <a:ext cx="29641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Delegación con menos servicios</a:t>
          </a:r>
        </a:p>
      </xdr:txBody>
    </xdr:sp>
    <xdr:clientData/>
  </xdr:twoCellAnchor>
  <xdr:twoCellAnchor>
    <xdr:from>
      <xdr:col>14</xdr:col>
      <xdr:colOff>777240</xdr:colOff>
      <xdr:row>6</xdr:row>
      <xdr:rowOff>38100</xdr:rowOff>
    </xdr:from>
    <xdr:to>
      <xdr:col>17</xdr:col>
      <xdr:colOff>167640</xdr:colOff>
      <xdr:row>8</xdr:row>
      <xdr:rowOff>175260</xdr:rowOff>
    </xdr:to>
    <xdr:sp macro="" textlink="'Ranking de delegaciones'!E34">
      <xdr:nvSpPr>
        <xdr:cNvPr id="25" name="CuadroTexto 24">
          <a:extLst>
            <a:ext uri="{FF2B5EF4-FFF2-40B4-BE49-F238E27FC236}">
              <a16:creationId xmlns:a16="http://schemas.microsoft.com/office/drawing/2014/main" id="{01826767-4494-4D18-AA61-48681B6CB96F}"/>
            </a:ext>
          </a:extLst>
        </xdr:cNvPr>
        <xdr:cNvSpPr txBox="1"/>
      </xdr:nvSpPr>
      <xdr:spPr>
        <a:xfrm>
          <a:off x="11871960" y="1135380"/>
          <a:ext cx="176784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DD357D03-2B5F-443E-87A0-7A65FB514219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55249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12</xdr:col>
      <xdr:colOff>678180</xdr:colOff>
      <xdr:row>6</xdr:row>
      <xdr:rowOff>38100</xdr:rowOff>
    </xdr:from>
    <xdr:to>
      <xdr:col>15</xdr:col>
      <xdr:colOff>190500</xdr:colOff>
      <xdr:row>8</xdr:row>
      <xdr:rowOff>175260</xdr:rowOff>
    </xdr:to>
    <xdr:sp macro="" textlink="'Ranking de delegaciones'!D34">
      <xdr:nvSpPr>
        <xdr:cNvPr id="26" name="CuadroTexto 25">
          <a:extLst>
            <a:ext uri="{FF2B5EF4-FFF2-40B4-BE49-F238E27FC236}">
              <a16:creationId xmlns:a16="http://schemas.microsoft.com/office/drawing/2014/main" id="{84265A11-659A-42ED-ACF0-D1042A9CA41D}"/>
            </a:ext>
          </a:extLst>
        </xdr:cNvPr>
        <xdr:cNvSpPr txBox="1"/>
      </xdr:nvSpPr>
      <xdr:spPr>
        <a:xfrm>
          <a:off x="10187940" y="1135380"/>
          <a:ext cx="188976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17289592-5ED0-463A-8B4B-5C77C9640804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Regional Oriente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14</xdr:col>
      <xdr:colOff>678180</xdr:colOff>
      <xdr:row>6</xdr:row>
      <xdr:rowOff>91440</xdr:rowOff>
    </xdr:from>
    <xdr:to>
      <xdr:col>15</xdr:col>
      <xdr:colOff>563880</xdr:colOff>
      <xdr:row>8</xdr:row>
      <xdr:rowOff>106680</xdr:rowOff>
    </xdr:to>
    <xdr:sp macro="" textlink="">
      <xdr:nvSpPr>
        <xdr:cNvPr id="27" name="CuadroTexto 26">
          <a:extLst>
            <a:ext uri="{FF2B5EF4-FFF2-40B4-BE49-F238E27FC236}">
              <a16:creationId xmlns:a16="http://schemas.microsoft.com/office/drawing/2014/main" id="{6EA25C03-34B7-4845-A16D-EB6F83A13937}"/>
            </a:ext>
          </a:extLst>
        </xdr:cNvPr>
        <xdr:cNvSpPr txBox="1"/>
      </xdr:nvSpPr>
      <xdr:spPr>
        <a:xfrm>
          <a:off x="11772900" y="1188720"/>
          <a:ext cx="678180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>
    <xdr:from>
      <xdr:col>16</xdr:col>
      <xdr:colOff>342900</xdr:colOff>
      <xdr:row>5</xdr:row>
      <xdr:rowOff>106680</xdr:rowOff>
    </xdr:from>
    <xdr:to>
      <xdr:col>21</xdr:col>
      <xdr:colOff>335280</xdr:colOff>
      <xdr:row>7</xdr:row>
      <xdr:rowOff>53340</xdr:rowOff>
    </xdr:to>
    <xdr:sp macro="" textlink="">
      <xdr:nvSpPr>
        <xdr:cNvPr id="28" name="CuadroTexto 27">
          <a:extLst>
            <a:ext uri="{FF2B5EF4-FFF2-40B4-BE49-F238E27FC236}">
              <a16:creationId xmlns:a16="http://schemas.microsoft.com/office/drawing/2014/main" id="{B1C77B70-CE1B-4994-8EC1-A627F8DE3B9F}"/>
            </a:ext>
          </a:extLst>
        </xdr:cNvPr>
        <xdr:cNvSpPr txBox="1"/>
      </xdr:nvSpPr>
      <xdr:spPr>
        <a:xfrm>
          <a:off x="13022580" y="1021080"/>
          <a:ext cx="3954780" cy="3124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400" b="1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Servicio</a:t>
          </a:r>
          <a:r>
            <a:rPr lang="es-MX" sz="1400" b="1" baseline="0">
              <a:solidFill>
                <a:srgbClr val="03045E"/>
              </a:solidFill>
              <a:latin typeface="Arial" panose="020B0604020202020204" pitchFamily="34" charset="0"/>
              <a:cs typeface="Arial" panose="020B0604020202020204" pitchFamily="34" charset="0"/>
            </a:rPr>
            <a:t> más solicitado</a:t>
          </a:r>
          <a:endParaRPr lang="es-MX" sz="1400" b="1">
            <a:solidFill>
              <a:srgbClr val="03045E"/>
            </a:solidFill>
            <a:latin typeface="Arial" panose="020B060402020202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419100</xdr:colOff>
      <xdr:row>6</xdr:row>
      <xdr:rowOff>68580</xdr:rowOff>
    </xdr:from>
    <xdr:to>
      <xdr:col>20</xdr:col>
      <xdr:colOff>708660</xdr:colOff>
      <xdr:row>9</xdr:row>
      <xdr:rowOff>22860</xdr:rowOff>
    </xdr:to>
    <xdr:sp macro="" textlink="'Ranking de Servicios'!E8">
      <xdr:nvSpPr>
        <xdr:cNvPr id="29" name="CuadroTexto 28">
          <a:extLst>
            <a:ext uri="{FF2B5EF4-FFF2-40B4-BE49-F238E27FC236}">
              <a16:creationId xmlns:a16="http://schemas.microsoft.com/office/drawing/2014/main" id="{813A0E44-07CA-41A6-8397-EEC5038415B2}"/>
            </a:ext>
          </a:extLst>
        </xdr:cNvPr>
        <xdr:cNvSpPr txBox="1"/>
      </xdr:nvSpPr>
      <xdr:spPr>
        <a:xfrm>
          <a:off x="15476220" y="1165860"/>
          <a:ext cx="108204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F2905A7-DF8B-43B9-9F6F-A1049135B0A5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36375442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17</xdr:col>
      <xdr:colOff>175260</xdr:colOff>
      <xdr:row>6</xdr:row>
      <xdr:rowOff>60960</xdr:rowOff>
    </xdr:from>
    <xdr:to>
      <xdr:col>19</xdr:col>
      <xdr:colOff>312420</xdr:colOff>
      <xdr:row>9</xdr:row>
      <xdr:rowOff>15240</xdr:rowOff>
    </xdr:to>
    <xdr:sp macro="" textlink="'Ranking de Servicios'!D8">
      <xdr:nvSpPr>
        <xdr:cNvPr id="30" name="CuadroTexto 29">
          <a:extLst>
            <a:ext uri="{FF2B5EF4-FFF2-40B4-BE49-F238E27FC236}">
              <a16:creationId xmlns:a16="http://schemas.microsoft.com/office/drawing/2014/main" id="{A13B6752-668A-46BC-8E89-C92FD129732B}"/>
            </a:ext>
          </a:extLst>
        </xdr:cNvPr>
        <xdr:cNvSpPr txBox="1"/>
      </xdr:nvSpPr>
      <xdr:spPr>
        <a:xfrm>
          <a:off x="13647420" y="1158240"/>
          <a:ext cx="1722120" cy="50292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06645CA-79C5-4D31-B82D-489E6831CDAC}" type="TxLink">
            <a:rPr lang="en-US" sz="1200" b="1" i="0" u="none" strike="noStrike">
              <a:solidFill>
                <a:srgbClr val="0077B6"/>
              </a:solidFill>
              <a:latin typeface="Arial" panose="020B0604020202020204" pitchFamily="34" charset="0"/>
              <a:ea typeface="Tahoma" panose="020B0604030504040204" pitchFamily="34" charset="0"/>
              <a:cs typeface="Arial" panose="020B0604020202020204" pitchFamily="34" charset="0"/>
            </a:rPr>
            <a:pPr algn="ctr"/>
            <a:t>Serv. Culturales Derecho Hab Publ</a:t>
          </a:fld>
          <a:endParaRPr lang="es-MX" sz="1200" b="1">
            <a:solidFill>
              <a:srgbClr val="0077B6"/>
            </a:solidFill>
            <a:latin typeface="Arial" panose="020B0604020202020204" pitchFamily="34" charset="0"/>
            <a:ea typeface="Tahoma" panose="020B0604030504040204" pitchFamily="34" charset="0"/>
            <a:cs typeface="Arial" panose="020B0604020202020204" pitchFamily="34" charset="0"/>
          </a:endParaRPr>
        </a:p>
      </xdr:txBody>
    </xdr:sp>
    <xdr:clientData/>
  </xdr:twoCellAnchor>
  <xdr:twoCellAnchor>
    <xdr:from>
      <xdr:col>19</xdr:col>
      <xdr:colOff>45720</xdr:colOff>
      <xdr:row>6</xdr:row>
      <xdr:rowOff>114300</xdr:rowOff>
    </xdr:from>
    <xdr:to>
      <xdr:col>19</xdr:col>
      <xdr:colOff>630358</xdr:colOff>
      <xdr:row>8</xdr:row>
      <xdr:rowOff>129540</xdr:rowOff>
    </xdr:to>
    <xdr:sp macro="" textlink="">
      <xdr:nvSpPr>
        <xdr:cNvPr id="31" name="CuadroTexto 30">
          <a:extLst>
            <a:ext uri="{FF2B5EF4-FFF2-40B4-BE49-F238E27FC236}">
              <a16:creationId xmlns:a16="http://schemas.microsoft.com/office/drawing/2014/main" id="{4338EF03-C5F9-4F0A-A888-F84177C1024A}"/>
            </a:ext>
          </a:extLst>
        </xdr:cNvPr>
        <xdr:cNvSpPr txBox="1"/>
      </xdr:nvSpPr>
      <xdr:spPr>
        <a:xfrm>
          <a:off x="15102840" y="1211580"/>
          <a:ext cx="584638" cy="3810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MX" sz="1200" b="1">
              <a:solidFill>
                <a:srgbClr val="0077B6"/>
              </a:solidFill>
              <a:latin typeface="Arial" panose="020B0604020202020204" pitchFamily="34" charset="0"/>
              <a:cs typeface="Arial" panose="020B0604020202020204" pitchFamily="34" charset="0"/>
            </a:rPr>
            <a:t>con</a:t>
          </a:r>
        </a:p>
      </xdr:txBody>
    </xdr:sp>
    <xdr:clientData/>
  </xdr:twoCellAnchor>
  <xdr:twoCellAnchor editAs="oneCell">
    <xdr:from>
      <xdr:col>0</xdr:col>
      <xdr:colOff>220980</xdr:colOff>
      <xdr:row>7</xdr:row>
      <xdr:rowOff>68580</xdr:rowOff>
    </xdr:from>
    <xdr:to>
      <xdr:col>2</xdr:col>
      <xdr:colOff>464820</xdr:colOff>
      <xdr:row>20</xdr:row>
      <xdr:rowOff>158115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3" name="Oficina Representación">
              <a:extLst>
                <a:ext uri="{FF2B5EF4-FFF2-40B4-BE49-F238E27FC236}">
                  <a16:creationId xmlns:a16="http://schemas.microsoft.com/office/drawing/2014/main" id="{CA7CAD81-0DF2-1227-9CE9-5D89E62756E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ficina Representación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0980" y="134874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274320</xdr:colOff>
      <xdr:row>21</xdr:row>
      <xdr:rowOff>91440</xdr:rowOff>
    </xdr:from>
    <xdr:to>
      <xdr:col>2</xdr:col>
      <xdr:colOff>518160</xdr:colOff>
      <xdr:row>34</xdr:row>
      <xdr:rowOff>180975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34" name="Año">
              <a:extLst>
                <a:ext uri="{FF2B5EF4-FFF2-40B4-BE49-F238E27FC236}">
                  <a16:creationId xmlns:a16="http://schemas.microsoft.com/office/drawing/2014/main" id="{8D708B3C-99C3-B6BA-EABC-CDBF3F3DD109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74320" y="393192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MX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0.47015335648" createdVersion="8" refreshedVersion="8" minRefreshableVersion="3" recordCount="494" xr:uid="{45697F6F-B6C1-4FB2-A6B4-D0194C73A538}">
  <cacheSource type="worksheet">
    <worksheetSource name="Tabla1"/>
  </cacheSource>
  <cacheFields count="12">
    <cacheField name="Año" numFmtId="1">
      <sharedItems containsSemiMixedTypes="0" containsString="0" containsNumber="1" containsInteger="1" minValue="2013" maxValue="2025" count="13"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</sharedItems>
    </cacheField>
    <cacheField name="Oficina Representación" numFmtId="0">
      <sharedItems count="49">
        <s v="Aguascalientes"/>
        <s v="Baja California"/>
        <s v="Baja California. Sur"/>
        <s v="Campeche"/>
        <s v="Coahuila"/>
        <s v="Colima"/>
        <s v="Chiapas"/>
        <s v="Chihuahua"/>
        <s v="Durango"/>
        <s v="Guanajuato"/>
        <s v="Guerrero"/>
        <s v="Hidalgo"/>
        <s v="Jalisco"/>
        <s v="México"/>
        <s v="Michoacán"/>
        <s v="Morelos"/>
        <s v="Nayarit"/>
        <s v="Nuevo León"/>
        <s v="Oaxaca"/>
        <s v="Puebla"/>
        <s v="Querétaro"/>
        <s v="Quintana Roo"/>
        <s v="San Luis Potosí"/>
        <s v="Sinaloa"/>
        <s v="Sonora"/>
        <s v="Tabasco"/>
        <s v="Tamaulipas"/>
        <s v="Tlaxcala"/>
        <s v="Veracruz"/>
        <s v="Yucatán"/>
        <s v="Zacatecas"/>
        <s v="Subdelegación. Norte"/>
        <s v="Subdelegación. Sur"/>
        <s v="Subdelegación. Oriente"/>
        <s v="Subdelegación. Poniente"/>
        <s v="Oficinas Centrales"/>
        <s v="Convive D.F."/>
        <s v="Issstehuixtla"/>
        <s v="Áreas Centrales"/>
        <s v="Baja California. Norte"/>
        <s v="Regional Norte"/>
        <s v="Regional Sur"/>
        <s v="Regional Oriente"/>
        <s v="Regional Poniente"/>
        <s v="Convive Cd. Mex."/>
        <s v="Delegación Norte"/>
        <s v="Delegación Sur"/>
        <s v="Delegación Oriente"/>
        <s v="Delegación Poniente"/>
      </sharedItems>
    </cacheField>
    <cacheField name="Serv. Culturales Derecho Hab Publ" numFmtId="1">
      <sharedItems containsSemiMixedTypes="0" containsString="0" containsNumber="1" containsInteger="1" minValue="0" maxValue="4458940" count="441">
        <n v="38316"/>
        <n v="63172"/>
        <n v="22917"/>
        <n v="85376"/>
        <n v="65886"/>
        <n v="75766"/>
        <n v="92979"/>
        <n v="39497"/>
        <n v="88495"/>
        <n v="100270"/>
        <n v="41618"/>
        <n v="111194"/>
        <n v="43939"/>
        <n v="81763"/>
        <n v="19086"/>
        <n v="144600"/>
        <n v="88738"/>
        <n v="133369"/>
        <n v="273717"/>
        <n v="12395"/>
        <n v="34708"/>
        <n v="60073"/>
        <n v="163205"/>
        <n v="50637"/>
        <n v="65564"/>
        <n v="43996"/>
        <n v="12487"/>
        <n v="132736"/>
        <n v="40535"/>
        <n v="115974"/>
        <n v="116532"/>
        <n v="110241"/>
        <n v="77535"/>
        <n v="116369"/>
        <n v="117133"/>
        <n v="4458940"/>
        <n v="0"/>
        <n v="28882"/>
        <n v="80369"/>
        <n v="29076"/>
        <n v="87248"/>
        <n v="49368"/>
        <n v="77475"/>
        <n v="18086"/>
        <n v="92443"/>
        <n v="62371"/>
        <n v="55334"/>
        <n v="43644"/>
        <n v="118420"/>
        <n v="50549"/>
        <n v="244524"/>
        <n v="116900"/>
        <n v="128923"/>
        <n v="90923"/>
        <n v="106619"/>
        <n v="279230"/>
        <n v="54049"/>
        <n v="41550"/>
        <n v="11174"/>
        <n v="209668"/>
        <n v="32266"/>
        <n v="68395"/>
        <n v="56276"/>
        <n v="21459"/>
        <n v="108344"/>
        <n v="57523"/>
        <n v="136792"/>
        <n v="120190"/>
        <n v="101457"/>
        <n v="88242"/>
        <n v="91827"/>
        <n v="154188"/>
        <n v="2893725"/>
        <n v="39725"/>
        <n v="83223"/>
        <n v="25967"/>
        <n v="74323"/>
        <n v="59386"/>
        <n v="69174"/>
        <n v="36710"/>
        <n v="77265"/>
        <n v="83066"/>
        <n v="33575"/>
        <n v="39556"/>
        <n v="106996"/>
        <n v="48617"/>
        <n v="243748"/>
        <n v="67161"/>
        <n v="117939"/>
        <n v="86309"/>
        <n v="114666"/>
        <n v="279410"/>
        <n v="74815"/>
        <n v="38881"/>
        <n v="13941"/>
        <n v="234704"/>
        <n v="47451"/>
        <n v="61553"/>
        <n v="63340"/>
        <n v="113562"/>
        <n v="59809"/>
        <n v="137489"/>
        <n v="119575"/>
        <n v="91117"/>
        <n v="187915"/>
        <n v="67770"/>
        <n v="113765"/>
        <n v="2730808"/>
        <n v="21640"/>
        <n v="60463"/>
        <n v="10646"/>
        <n v="66560"/>
        <n v="50498"/>
        <n v="47575"/>
        <n v="42348"/>
        <n v="55337"/>
        <n v="54284"/>
        <n v="39484"/>
        <n v="24074"/>
        <n v="81480"/>
        <n v="106131"/>
        <n v="176504"/>
        <n v="26285"/>
        <n v="90000"/>
        <n v="54231"/>
        <n v="87877"/>
        <n v="203286"/>
        <n v="62651"/>
        <n v="39760"/>
        <n v="8331"/>
        <n v="162819"/>
        <n v="46584"/>
        <n v="75593"/>
        <n v="59027"/>
        <n v="16579"/>
        <n v="85891"/>
        <n v="50857"/>
        <n v="92295"/>
        <n v="90445"/>
        <n v="84266"/>
        <n v="145297"/>
        <n v="21249"/>
        <n v="103051"/>
        <n v="972448"/>
        <n v="25627"/>
        <n v="68545"/>
        <n v="17482"/>
        <n v="76202"/>
        <n v="75566"/>
        <n v="68319"/>
        <n v="80363"/>
        <n v="79465"/>
        <n v="89897"/>
        <n v="45528"/>
        <n v="37993"/>
        <n v="121807"/>
        <n v="109999"/>
        <n v="236567"/>
        <n v="67230"/>
        <n v="81174"/>
        <n v="46665"/>
        <n v="108205"/>
        <n v="278566"/>
        <n v="82972"/>
        <n v="51946"/>
        <n v="35766"/>
        <n v="184992"/>
        <n v="67339"/>
        <n v="100728"/>
        <n v="101825"/>
        <n v="22121"/>
        <n v="95061"/>
        <n v="70079"/>
        <n v="107583"/>
        <n v="121744"/>
        <n v="145522"/>
        <n v="85815"/>
        <n v="34875"/>
        <n v="151018"/>
        <n v="1138040"/>
        <n v="17227"/>
        <n v="67147"/>
        <n v="13774"/>
        <n v="57071"/>
        <n v="79543"/>
        <n v="67456"/>
        <n v="58020"/>
        <n v="54085"/>
        <n v="98725"/>
        <n v="37452"/>
        <n v="37752"/>
        <n v="140786"/>
        <n v="107142"/>
        <n v="240729"/>
        <n v="50676"/>
        <n v="84731"/>
        <n v="50722"/>
        <n v="99373"/>
        <n v="275284"/>
        <n v="81969"/>
        <n v="55687"/>
        <n v="20901"/>
        <n v="196588"/>
        <n v="67576"/>
        <n v="104609"/>
        <n v="116693"/>
        <n v="23349"/>
        <n v="99287"/>
        <n v="62324"/>
        <n v="93107"/>
        <n v="121960"/>
        <n v="132860"/>
        <n v="66922"/>
        <n v="38482"/>
        <n v="142850"/>
        <n v="1878886"/>
        <n v="10402"/>
        <n v="23337"/>
        <n v="2923"/>
        <n v="55339"/>
        <n v="80616"/>
        <n v="69491"/>
        <n v="68503"/>
        <n v="68938"/>
        <n v="100926"/>
        <n v="56113"/>
        <n v="41697"/>
        <n v="130797"/>
        <n v="86896"/>
        <n v="205948"/>
        <n v="159861"/>
        <n v="79641"/>
        <n v="72968"/>
        <n v="98414"/>
        <n v="277218"/>
        <n v="84659"/>
        <n v="34865"/>
        <n v="20761"/>
        <n v="204535"/>
        <n v="66325"/>
        <n v="69680"/>
        <n v="92025"/>
        <n v="24855"/>
        <n v="35401"/>
        <n v="55111"/>
        <n v="64862"/>
        <n v="123350"/>
        <n v="127697"/>
        <n v="119571"/>
        <n v="25401"/>
        <n v="141741"/>
        <n v="997716"/>
        <n v="2997"/>
        <n v="2436"/>
        <n v="256"/>
        <n v="23409"/>
        <n v="12605"/>
        <n v="11790"/>
        <n v="8471"/>
        <n v="7777"/>
        <n v="347"/>
        <n v="3320"/>
        <n v="27129"/>
        <n v="1393"/>
        <n v="17835"/>
        <n v="15319"/>
        <n v="8048"/>
        <n v="4831"/>
        <n v="4574"/>
        <n v="31523"/>
        <n v="6925"/>
        <n v="1164"/>
        <n v="2703"/>
        <n v="9400"/>
        <n v="103"/>
        <n v="1295"/>
        <n v="705"/>
        <n v="3899"/>
        <n v="10049"/>
        <n v="7673"/>
        <n v="10930"/>
        <n v="12471"/>
        <n v="16253"/>
        <n v="11157"/>
        <n v="158"/>
        <n v="17236"/>
        <n v="148392"/>
        <n v="43"/>
        <n v="79"/>
        <n v="9"/>
        <n v="13"/>
        <n v="34"/>
        <n v="97"/>
        <n v="254"/>
        <n v="116"/>
        <n v="282"/>
        <n v="396"/>
        <n v="139"/>
        <n v="208"/>
        <n v="245"/>
        <n v="830"/>
        <n v="603"/>
        <n v="366"/>
        <n v="50"/>
        <n v="269"/>
        <n v="109"/>
        <n v="11"/>
        <n v="110"/>
        <n v="145"/>
        <n v="40"/>
        <n v="113"/>
        <n v="19"/>
        <n v="639"/>
        <n v="469"/>
        <n v="211"/>
        <n v="90"/>
        <n v="170"/>
        <n v="1664"/>
        <n v="1363"/>
        <n v="162"/>
        <n v="7"/>
        <n v="1374"/>
        <n v="204"/>
        <n v="42"/>
        <n v="275"/>
        <n v="350"/>
        <n v="177"/>
        <n v="515"/>
        <n v="1468"/>
        <n v="159"/>
        <n v="41"/>
        <n v="415"/>
        <n v="320"/>
        <n v="950"/>
        <n v="580"/>
        <n v="168"/>
        <n v="242"/>
        <n v="488"/>
        <n v="163"/>
        <n v="201"/>
        <n v="80"/>
        <n v="157"/>
        <n v="378"/>
        <n v="46"/>
        <n v="61"/>
        <n v="409"/>
        <n v="546"/>
        <n v="467"/>
        <n v="420"/>
        <n v="71"/>
        <n v="3142"/>
        <n v="884"/>
        <n v="5"/>
        <n v="783"/>
        <n v="2"/>
        <n v="67"/>
        <n v="101"/>
        <n v="179"/>
        <n v="180"/>
        <n v="483"/>
        <n v="333"/>
        <n v="460"/>
        <n v="1934"/>
        <n v="136"/>
        <n v="481"/>
        <n v="240"/>
        <n v="971"/>
        <n v="596"/>
        <n v="482"/>
        <n v="160"/>
        <n v="699"/>
        <n v="221"/>
        <n v="317"/>
        <n v="75"/>
        <n v="85"/>
        <n v="495"/>
        <n v="52"/>
        <n v="17"/>
        <n v="91"/>
        <n v="353"/>
        <n v="203"/>
        <n v="570"/>
        <n v="422"/>
        <n v="357"/>
        <n v="3275"/>
        <n v="646"/>
        <n v="264"/>
        <n v="846"/>
        <n v="66"/>
        <n v="192"/>
        <n v="69"/>
        <n v="502"/>
        <n v="311"/>
        <n v="27"/>
        <n v="406"/>
        <n v="88"/>
        <n v="94"/>
        <n v="609"/>
        <n v="297"/>
        <n v="1480"/>
        <n v="771"/>
        <n v="238"/>
        <n v="393"/>
        <n v="202"/>
        <n v="634"/>
        <n v="260"/>
        <n v="294"/>
        <n v="59"/>
        <n v="787"/>
        <n v="266"/>
        <n v="380"/>
        <n v="224"/>
        <n v="3138"/>
        <n v="117"/>
        <n v="86"/>
        <n v="214"/>
        <n v="205"/>
        <n v="89"/>
        <n v="57"/>
        <n v="137"/>
        <n v="48"/>
        <n v="10"/>
        <n v="96"/>
        <n v="268"/>
        <n v="171"/>
        <n v="190"/>
        <n v="78"/>
        <n v="153"/>
        <n v="108"/>
        <n v="33"/>
        <n v="39"/>
        <n v="93"/>
        <n v="14"/>
        <n v="28"/>
        <n v="84"/>
        <n v="106"/>
        <n v="51"/>
        <n v="1252"/>
        <n v="722"/>
        <n v="127"/>
        <n v="29"/>
      </sharedItems>
    </cacheField>
    <cacheField name="Serv. Deportivos Derecho Hab Publ" numFmtId="1">
      <sharedItems containsSemiMixedTypes="0" containsString="0" containsNumber="1" containsInteger="1" minValue="0" maxValue="161933" count="410">
        <n v="27460"/>
        <n v="35382"/>
        <n v="27582"/>
        <n v="71675"/>
        <n v="92230"/>
        <n v="37125"/>
        <n v="23992"/>
        <n v="57939"/>
        <n v="56697"/>
        <n v="63099"/>
        <n v="38573"/>
        <n v="79355"/>
        <n v="36767"/>
        <n v="22479"/>
        <n v="28705"/>
        <n v="16066"/>
        <n v="54785"/>
        <n v="33175"/>
        <n v="18736"/>
        <n v="42828"/>
        <n v="43956"/>
        <n v="47505"/>
        <n v="67299"/>
        <n v="9317"/>
        <n v="13559"/>
        <n v="69679"/>
        <n v="29228"/>
        <n v="25324"/>
        <n v="58583"/>
        <n v="68631"/>
        <n v="88862"/>
        <n v="127344"/>
        <n v="129901"/>
        <n v="67913"/>
        <n v="104254"/>
        <n v="0"/>
        <n v="24276"/>
        <n v="40548"/>
        <n v="33897"/>
        <n v="75096"/>
        <n v="71020"/>
        <n v="36780"/>
        <n v="14706"/>
        <n v="73046"/>
        <n v="44928"/>
        <n v="63296"/>
        <n v="39689"/>
        <n v="70442"/>
        <n v="40021"/>
        <n v="33134"/>
        <n v="36603"/>
        <n v="17123"/>
        <n v="55729"/>
        <n v="34983"/>
        <n v="28336"/>
        <n v="56161"/>
        <n v="40473"/>
        <n v="46109"/>
        <n v="80233"/>
        <n v="15283"/>
        <n v="17727"/>
        <n v="76730"/>
        <n v="27677"/>
        <n v="25534"/>
        <n v="57413"/>
        <n v="73402"/>
        <n v="89439"/>
        <n v="125658"/>
        <n v="109103"/>
        <n v="70010"/>
        <n v="102821"/>
        <n v="24096"/>
        <n v="41949"/>
        <n v="32707"/>
        <n v="72228"/>
        <n v="71299"/>
        <n v="36867"/>
        <n v="22440"/>
        <n v="61104"/>
        <n v="51576"/>
        <n v="64023"/>
        <n v="33729"/>
        <n v="71296"/>
        <n v="40187"/>
        <n v="33879"/>
        <n v="29015"/>
        <n v="15164"/>
        <n v="54848"/>
        <n v="34915"/>
        <n v="32738"/>
        <n v="56353"/>
        <n v="48376"/>
        <n v="26925"/>
        <n v="83159"/>
        <n v="16979"/>
        <n v="14915"/>
        <n v="48121"/>
        <n v="30392"/>
        <n v="25819"/>
        <n v="47295"/>
        <n v="73184"/>
        <n v="88408"/>
        <n v="105498"/>
        <n v="110643"/>
        <n v="73085"/>
        <n v="109969"/>
        <n v="28418"/>
        <n v="47250"/>
        <n v="38154"/>
        <n v="75016"/>
        <n v="68053"/>
        <n v="30959"/>
        <n v="25670"/>
        <n v="71098"/>
        <n v="43832"/>
        <n v="44394"/>
        <n v="31886"/>
        <n v="72504"/>
        <n v="37416"/>
        <n v="33015"/>
        <n v="29210"/>
        <n v="14002"/>
        <n v="49605"/>
        <n v="34249"/>
        <n v="34747"/>
        <n v="55731"/>
        <n v="38068"/>
        <n v="40314"/>
        <n v="85679"/>
        <n v="15312"/>
        <n v="23999"/>
        <n v="32865"/>
        <n v="26970"/>
        <n v="25403"/>
        <n v="51068"/>
        <n v="74792"/>
        <n v="97592"/>
        <n v="94954"/>
        <n v="137343"/>
        <n v="78460"/>
        <n v="88924"/>
        <n v="21839"/>
        <n v="40468"/>
        <n v="36099"/>
        <n v="71603"/>
        <n v="74767"/>
        <n v="23896"/>
        <n v="20673"/>
        <n v="70331"/>
        <n v="44913"/>
        <n v="46664"/>
        <n v="36828"/>
        <n v="72045"/>
        <n v="36706"/>
        <n v="32217"/>
        <n v="17739"/>
        <n v="18619"/>
        <n v="56171"/>
        <n v="34177"/>
        <n v="44439"/>
        <n v="51792"/>
        <n v="39038"/>
        <n v="43817"/>
        <n v="85222"/>
        <n v="15854"/>
        <n v="18956"/>
        <n v="27354"/>
        <n v="26234"/>
        <n v="25673"/>
        <n v="51174"/>
        <n v="75352"/>
        <n v="94515"/>
        <n v="113114"/>
        <n v="122890"/>
        <n v="94959"/>
        <n v="107345"/>
        <n v="23676"/>
        <n v="11851"/>
        <n v="63255"/>
        <n v="40337"/>
        <n v="74648"/>
        <n v="64789"/>
        <n v="19130"/>
        <n v="72141"/>
        <n v="46468"/>
        <n v="39688"/>
        <n v="38767"/>
        <n v="72759"/>
        <n v="32765"/>
        <n v="31890"/>
        <n v="33884"/>
        <n v="21918"/>
        <n v="55386"/>
        <n v="65121"/>
        <n v="34857"/>
        <n v="47146"/>
        <n v="40744"/>
        <n v="44029"/>
        <n v="88112"/>
        <n v="15752"/>
        <n v="16785"/>
        <n v="17653"/>
        <n v="26748"/>
        <n v="25473"/>
        <n v="48337"/>
        <n v="46989"/>
        <n v="92540"/>
        <n v="48880"/>
        <n v="161933"/>
        <n v="87897"/>
        <n v="114647"/>
        <n v="6210"/>
        <n v="3324"/>
        <n v="29171"/>
        <n v="35752"/>
        <n v="20194"/>
        <n v="24366"/>
        <n v="3194"/>
        <n v="9155"/>
        <n v="8124"/>
        <n v="5275"/>
        <n v="5334"/>
        <n v="15133"/>
        <n v="28950"/>
        <n v="26203"/>
        <n v="7478"/>
        <n v="5052"/>
        <n v="26895"/>
        <n v="13057"/>
        <n v="5186"/>
        <n v="12497"/>
        <n v="2825"/>
        <n v="7528"/>
        <n v="38034"/>
        <n v="2271"/>
        <n v="2139"/>
        <n v="3671"/>
        <n v="7153"/>
        <n v="6948"/>
        <n v="9776"/>
        <n v="11393"/>
        <n v="24051"/>
        <n v="28827"/>
        <n v="44236"/>
        <n v="26737"/>
        <n v="25514"/>
        <n v="386"/>
        <n v="184"/>
        <n v="4"/>
        <n v="143"/>
        <n v="551"/>
        <n v="1944"/>
        <n v="302"/>
        <n v="176"/>
        <n v="563"/>
        <n v="298"/>
        <n v="521"/>
        <n v="286"/>
        <n v="884"/>
        <n v="389"/>
        <n v="1794"/>
        <n v="668"/>
        <n v="93"/>
        <n v="166"/>
        <n v="300"/>
        <n v="299"/>
        <n v="193"/>
        <n v="509"/>
        <n v="354"/>
        <n v="507"/>
        <n v="545"/>
        <n v="445"/>
        <n v="187"/>
        <n v="508"/>
        <n v="127"/>
        <n v="1814"/>
        <n v="2117"/>
        <n v="685"/>
        <n v="913"/>
        <n v="959"/>
        <n v="241"/>
        <n v="146"/>
        <n v="763"/>
        <n v="680"/>
        <n v="3166"/>
        <n v="421"/>
        <n v="644"/>
        <n v="1180"/>
        <n v="719"/>
        <n v="229"/>
        <n v="626"/>
        <n v="352"/>
        <n v="1780"/>
        <n v="1333"/>
        <n v="398"/>
        <n v="567"/>
        <n v="332"/>
        <n v="514"/>
        <n v="206"/>
        <n v="312"/>
        <n v="621"/>
        <n v="793"/>
        <n v="377"/>
        <n v="16"/>
        <n v="653"/>
        <n v="1525"/>
        <n v="603"/>
        <n v="2663"/>
        <n v="3229"/>
        <n v="1070"/>
        <n v="4992"/>
        <n v="1632"/>
        <n v="761"/>
        <n v="47"/>
        <n v="1260"/>
        <n v="651"/>
        <n v="2926"/>
        <n v="334"/>
        <n v="422"/>
        <n v="614"/>
        <n v="1408"/>
        <n v="540"/>
        <n v="151"/>
        <n v="638"/>
        <n v="488"/>
        <n v="2206"/>
        <n v="1901"/>
        <n v="351"/>
        <n v="343"/>
        <n v="346"/>
        <n v="652"/>
        <n v="217"/>
        <n v="308"/>
        <n v="715"/>
        <n v="1357"/>
        <n v="37"/>
        <n v="484"/>
        <n v="12"/>
        <n v="263"/>
        <n v="556"/>
        <n v="985"/>
        <n v="767"/>
        <n v="3255"/>
        <n v="2662"/>
        <n v="1208"/>
        <n v="1956"/>
        <n v="3407"/>
        <n v="67042"/>
        <n v="1259"/>
        <n v="586"/>
        <n v="419"/>
        <n v="1315"/>
        <n v="309"/>
        <n v="420"/>
        <n v="726"/>
        <n v="440"/>
        <n v="562"/>
        <n v="756"/>
        <n v="599"/>
        <n v="1571"/>
        <n v="2157"/>
        <n v="2013"/>
        <n v="359"/>
        <n v="379"/>
        <n v="371"/>
        <n v="674"/>
        <n v="266"/>
        <n v="665"/>
        <n v="1545"/>
        <n v="76"/>
        <n v="39"/>
        <n v="253"/>
        <n v="742"/>
        <n v="1071"/>
        <n v="2565"/>
        <n v="3145"/>
        <n v="1710"/>
        <n v="271"/>
        <n v="1442"/>
        <n v="439"/>
        <n v="36"/>
        <n v="99"/>
        <n v="426"/>
        <n v="94"/>
        <n v="109"/>
        <n v="305"/>
        <n v="476"/>
        <n v="159"/>
        <n v="85"/>
        <n v="252"/>
        <n v="382"/>
        <n v="837"/>
        <n v="535"/>
        <n v="183"/>
        <n v="168"/>
        <n v="301"/>
        <n v="142"/>
        <n v="177"/>
        <n v="144"/>
        <n v="204"/>
        <n v="3"/>
        <n v="86"/>
        <n v="145"/>
        <n v="87"/>
        <n v="207"/>
        <n v="1092"/>
        <n v="691"/>
        <n v="558"/>
        <n v="196"/>
        <n v="58"/>
      </sharedItems>
    </cacheField>
    <cacheField name="Serv. Sociales Derecho Hab Publ" numFmtId="1">
      <sharedItems containsSemiMixedTypes="0" containsString="0" containsNumber="1" containsInteger="1" minValue="0" maxValue="91806"/>
    </cacheField>
    <cacheField name="Serv. Funerarios Derecho Hab Publ" numFmtId="1">
      <sharedItems containsSemiMixedTypes="0" containsString="0" containsNumber="1" containsInteger="1" minValue="0" maxValue="73308"/>
    </cacheField>
    <cacheField name="Serv. Sociales Pensionados Jubl" numFmtId="1">
      <sharedItems containsSemiMixedTypes="0" containsString="0" containsNumber="1" containsInteger="1" minValue="0" maxValue="52128"/>
    </cacheField>
    <cacheField name="Fome Deportivo Pensionados Jubl" numFmtId="1">
      <sharedItems containsSemiMixedTypes="0" containsString="0" containsNumber="1" containsInteger="1" minValue="0" maxValue="56269" count="413">
        <n v="3793"/>
        <n v="1605"/>
        <n v="2489"/>
        <n v="5330"/>
        <n v="16641"/>
        <n v="1300"/>
        <n v="12000"/>
        <n v="2543"/>
        <n v="10806"/>
        <n v="2450"/>
        <n v="3312"/>
        <n v="2835"/>
        <n v="3158"/>
        <n v="2378"/>
        <n v="2440"/>
        <n v="5015"/>
        <n v="3415"/>
        <n v="2236"/>
        <n v="1543"/>
        <n v="1890"/>
        <n v="3459"/>
        <n v="2273"/>
        <n v="6535"/>
        <n v="1023"/>
        <n v="2080"/>
        <n v="11541"/>
        <n v="1920"/>
        <n v="2796"/>
        <n v="4384"/>
        <n v="11485"/>
        <n v="14260"/>
        <n v="22831"/>
        <n v="15902"/>
        <n v="16094"/>
        <n v="19327"/>
        <n v="0"/>
        <n v="4844"/>
        <n v="2097"/>
        <n v="3826"/>
        <n v="5351"/>
        <n v="14356"/>
        <n v="1225"/>
        <n v="11975"/>
        <n v="3363"/>
        <n v="12643"/>
        <n v="2414"/>
        <n v="2168"/>
        <n v="2188"/>
        <n v="3200"/>
        <n v="3437"/>
        <n v="3402"/>
        <n v="5276"/>
        <n v="3420"/>
        <n v="2322"/>
        <n v="6994"/>
        <n v="1805"/>
        <n v="3544"/>
        <n v="2251"/>
        <n v="12145"/>
        <n v="1176"/>
        <n v="6149"/>
        <n v="10498"/>
        <n v="2826"/>
        <n v="4793"/>
        <n v="13766"/>
        <n v="12281"/>
        <n v="22392"/>
        <n v="14006"/>
        <n v="25621"/>
        <n v="17885"/>
        <n v="3748"/>
        <n v="2446"/>
        <n v="2856"/>
        <n v="5373"/>
        <n v="15877"/>
        <n v="1315"/>
        <n v="6508"/>
        <n v="2637"/>
        <n v="10380"/>
        <n v="2319"/>
        <n v="2644"/>
        <n v="1748"/>
        <n v="3018"/>
        <n v="1944"/>
        <n v="2094"/>
        <n v="5651"/>
        <n v="2371"/>
        <n v="12133"/>
        <n v="1778"/>
        <n v="3332"/>
        <n v="2098"/>
        <n v="8080"/>
        <n v="1703"/>
        <n v="2233"/>
        <n v="8829"/>
        <n v="2958"/>
        <n v="1675"/>
        <n v="12062"/>
        <n v="12320"/>
        <n v="19350"/>
        <n v="16086"/>
        <n v="37665"/>
        <n v="19039"/>
        <n v="2571"/>
        <n v="12022"/>
        <n v="975"/>
        <n v="5245"/>
        <n v="2584"/>
        <n v="9180"/>
        <n v="1823"/>
        <n v="1294"/>
        <n v="2247"/>
        <n v="2758"/>
        <n v="2740"/>
        <n v="1160"/>
        <n v="3249"/>
        <n v="2494"/>
        <n v="1729"/>
        <n v="2943"/>
        <n v="1020"/>
        <n v="2978"/>
        <n v="1706"/>
        <n v="10099"/>
        <n v="1128"/>
        <n v="5228"/>
        <n v="8313"/>
        <n v="1440"/>
        <n v="2198"/>
        <n v="4977"/>
        <n v="14638"/>
        <n v="9620"/>
        <n v="13838"/>
        <n v="11952"/>
        <n v="16455"/>
        <n v="11732"/>
        <n v="13336"/>
        <n v="3005"/>
        <n v="3696"/>
        <n v="5394"/>
        <n v="15165"/>
        <n v="1386"/>
        <n v="13301"/>
        <n v="12640"/>
        <n v="4177"/>
        <n v="2900"/>
        <n v="2427"/>
        <n v="3197"/>
        <n v="3915"/>
        <n v="3608"/>
        <n v="4451"/>
        <n v="3296"/>
        <n v="2269"/>
        <n v="7023"/>
        <n v="2030"/>
        <n v="6942"/>
        <n v="2290"/>
        <n v="12462"/>
        <n v="1521"/>
        <n v="11549"/>
        <n v="1175"/>
        <n v="2863"/>
        <n v="6003"/>
        <n v="15518"/>
        <n v="16167"/>
        <n v="18840"/>
        <n v="17689"/>
        <n v="27179"/>
        <n v="17506"/>
        <n v="10792"/>
        <n v="3952"/>
        <n v="3580"/>
        <n v="5383"/>
        <n v="17750"/>
        <n v="18299"/>
        <n v="14528"/>
        <n v="12680"/>
        <n v="3037"/>
        <n v="2170"/>
        <n v="3440"/>
        <n v="3218"/>
        <n v="3185"/>
        <n v="1779"/>
        <n v="5039"/>
        <n v="3292"/>
        <n v="2268"/>
        <n v="10752"/>
        <n v="1370"/>
        <n v="9476"/>
        <n v="2252"/>
        <n v="12025"/>
        <n v="1537"/>
        <n v="8046"/>
        <n v="8280"/>
        <n v="3015"/>
        <n v="4068"/>
        <n v="17458"/>
        <n v="17502"/>
        <n v="19438"/>
        <n v="11134"/>
        <n v="56269"/>
        <n v="16656"/>
        <n v="10488"/>
        <n v="663"/>
        <n v="15535"/>
        <n v="4750"/>
        <n v="15194"/>
        <n v="10988"/>
        <n v="14329"/>
        <n v="4903"/>
        <n v="13140"/>
        <n v="1956"/>
        <n v="2975"/>
        <n v="3244"/>
        <n v="3081"/>
        <n v="4994"/>
        <n v="5093"/>
        <n v="5676"/>
        <n v="3816"/>
        <n v="4241"/>
        <n v="5755"/>
        <n v="2244"/>
        <n v="3997"/>
        <n v="2424"/>
        <n v="11894"/>
        <n v="1112"/>
        <n v="7849"/>
        <n v="15938"/>
        <n v="3165"/>
        <n v="4214"/>
        <n v="25968"/>
        <n v="13730"/>
        <n v="14430"/>
        <n v="11419"/>
        <n v="49834"/>
        <n v="12065"/>
        <n v="3082"/>
        <n v="342"/>
        <n v="4240"/>
        <n v="1405"/>
        <n v="5007"/>
        <n v="665"/>
        <n v="2545"/>
        <n v="1168"/>
        <n v="3730"/>
        <n v="425"/>
        <n v="420"/>
        <n v="615"/>
        <n v="1681"/>
        <n v="4580"/>
        <n v="1722"/>
        <n v="1137"/>
        <n v="2240"/>
        <n v="707"/>
        <n v="376"/>
        <n v="1519"/>
        <n v="590"/>
        <n v="1533"/>
        <n v="9386"/>
        <n v="57"/>
        <n v="1262"/>
        <n v="2363"/>
        <n v="480"/>
        <n v="2542"/>
        <n v="876"/>
        <n v="3525"/>
        <n v="4024"/>
        <n v="6078"/>
        <n v="2259"/>
        <n v="14666"/>
        <n v="2522"/>
        <n v="40"/>
        <n v="67"/>
        <n v="752"/>
        <n v="877"/>
        <n v="138"/>
        <n v="626"/>
        <n v="311"/>
        <n v="400"/>
        <n v="60"/>
        <n v="178"/>
        <n v="139"/>
        <n v="367"/>
        <n v="1571"/>
        <n v="563"/>
        <n v="174"/>
        <n v="206"/>
        <n v="260"/>
        <n v="148"/>
        <n v="164"/>
        <n v="193"/>
        <n v="499"/>
        <n v="153"/>
        <n v="235"/>
        <n v="314"/>
        <n v="938"/>
        <n v="83"/>
        <n v="445"/>
        <n v="1821"/>
        <n v="403"/>
        <n v="1"/>
        <n v="407"/>
        <n v="176"/>
        <n v="814"/>
        <n v="623"/>
        <n v="1515"/>
        <n v="289"/>
        <n v="2299"/>
        <n v="296"/>
        <n v="436"/>
        <n v="267"/>
        <n v="159"/>
        <n v="261"/>
        <n v="282"/>
        <n v="1755"/>
        <n v="657"/>
        <n v="184"/>
        <n v="421"/>
        <n v="353"/>
        <n v="275"/>
        <n v="308"/>
        <n v="212"/>
        <n v="502"/>
        <n v="39"/>
        <n v="313"/>
        <n v="5"/>
        <n v="307"/>
        <n v="431"/>
        <n v="1524"/>
        <n v="1299"/>
        <n v="36"/>
        <n v="750"/>
        <n v="735"/>
        <n v="277"/>
        <n v="3"/>
        <n v="1254"/>
        <n v="558"/>
        <n v="1496"/>
        <n v="319"/>
        <n v="800"/>
        <n v="569"/>
        <n v="1004"/>
        <n v="457"/>
        <n v="155"/>
        <n v="283"/>
        <n v="2197"/>
        <n v="720"/>
        <n v="189"/>
        <n v="462"/>
        <n v="323"/>
        <n v="195"/>
        <n v="146"/>
        <n v="1384"/>
        <n v="114"/>
        <n v="483"/>
        <n v="2"/>
        <n v="217"/>
        <n v="1052"/>
        <n v="1697"/>
        <n v="69"/>
        <n v="1025"/>
        <n v="1532"/>
        <n v="1131"/>
        <n v="911"/>
        <n v="294"/>
        <n v="4"/>
        <n v="1246"/>
        <n v="318"/>
        <n v="822"/>
        <n v="370"/>
        <n v="167"/>
        <n v="613"/>
        <n v="448"/>
        <n v="95"/>
        <n v="317"/>
        <n v="624"/>
        <n v="2180"/>
        <n v="862"/>
        <n v="286"/>
        <n v="168"/>
        <n v="601"/>
        <n v="137"/>
        <n v="393"/>
        <n v="1456"/>
        <n v="226"/>
        <n v="290"/>
        <n v="166"/>
        <n v="1122"/>
        <n v="1382"/>
        <n v="1093"/>
        <n v="253"/>
        <n v="7"/>
        <n v="527"/>
        <n v="81"/>
        <n v="272"/>
        <n v="89"/>
        <n v="23"/>
        <n v="80"/>
        <n v="55"/>
        <n v="797"/>
        <n v="50"/>
        <n v="109"/>
        <n v="191"/>
        <n v="262"/>
        <n v="156"/>
        <n v="37"/>
        <n v="169"/>
        <n v="136"/>
        <n v="131"/>
        <n v="44"/>
        <n v="180"/>
        <n v="107"/>
        <n v="699"/>
        <n v="451"/>
      </sharedItems>
    </cacheField>
    <cacheField name="Serv. Culturales Pensionados Jubl" numFmtId="1">
      <sharedItems containsSemiMixedTypes="0" containsString="0" containsNumber="1" containsInteger="1" minValue="0" maxValue="384945" count="386">
        <n v="11569"/>
        <n v="10342"/>
        <n v="3754"/>
        <n v="10283"/>
        <n v="11413"/>
        <n v="9513"/>
        <n v="1471"/>
        <n v="7611"/>
        <n v="4091"/>
        <n v="7530"/>
        <n v="4932"/>
        <n v="5566"/>
        <n v="6904"/>
        <n v="2488"/>
        <n v="5494"/>
        <n v="6422"/>
        <n v="3864"/>
        <n v="11513"/>
        <n v="29140"/>
        <n v="11083"/>
        <n v="12622"/>
        <n v="7956"/>
        <n v="8847"/>
        <n v="14161"/>
        <n v="4577"/>
        <n v="5842"/>
        <n v="1060"/>
        <n v="21951"/>
        <n v="1263"/>
        <n v="27761"/>
        <n v="10674"/>
        <n v="9457"/>
        <n v="30301"/>
        <n v="7203"/>
        <n v="51613"/>
        <n v="384945"/>
        <n v="13678"/>
        <n v="0"/>
        <n v="1740"/>
        <n v="7644"/>
        <n v="1096"/>
        <n v="10574"/>
        <n v="6136"/>
        <n v="11974"/>
        <n v="657"/>
        <n v="4237"/>
        <n v="5720"/>
        <n v="4410"/>
        <n v="3552"/>
        <n v="7406"/>
        <n v="7721"/>
        <n v="8458"/>
        <n v="58349"/>
        <n v="7034"/>
        <n v="3978"/>
        <n v="12343"/>
        <n v="33335"/>
        <n v="11885"/>
        <n v="248"/>
        <n v="227"/>
        <n v="9706"/>
        <n v="2254"/>
        <n v="2724"/>
        <n v="3856"/>
        <n v="1805"/>
        <n v="18713"/>
        <n v="984"/>
        <n v="16785"/>
        <n v="10115"/>
        <n v="7219"/>
        <n v="12098"/>
        <n v="16516"/>
        <n v="19915"/>
        <n v="14790"/>
        <n v="15756"/>
        <n v="7016"/>
        <n v="12254"/>
        <n v="2351"/>
        <n v="9586"/>
        <n v="10336"/>
        <n v="10975"/>
        <n v="2691"/>
        <n v="7360"/>
        <n v="9561"/>
        <n v="7316"/>
        <n v="1212"/>
        <n v="9879"/>
        <n v="7193"/>
        <n v="10747"/>
        <n v="58308"/>
        <n v="7439"/>
        <n v="3724"/>
        <n v="11766"/>
        <n v="31662"/>
        <n v="17760"/>
        <n v="8359"/>
        <n v="111"/>
        <n v="10061"/>
        <n v="6702"/>
        <n v="3144"/>
        <n v="5856"/>
        <n v="2530"/>
        <n v="17652"/>
        <n v="2091"/>
        <n v="25933"/>
        <n v="15353"/>
        <n v="8193"/>
        <n v="11275"/>
        <n v="5704"/>
        <n v="32298"/>
        <n v="36648"/>
        <n v="5292"/>
        <n v="6139"/>
        <n v="1972"/>
        <n v="7286"/>
        <n v="5995"/>
        <n v="6745"/>
        <n v="9711"/>
        <n v="7773"/>
        <n v="10206"/>
        <n v="6608"/>
        <n v="1580"/>
        <n v="6013"/>
        <n v="8040"/>
        <n v="9969"/>
        <n v="1998"/>
        <n v="14083"/>
        <n v="5175"/>
        <n v="7167"/>
        <n v="60186"/>
        <n v="6710"/>
        <n v="12309"/>
        <n v="228"/>
        <n v="6811"/>
        <n v="5889"/>
        <n v="8550"/>
        <n v="13188"/>
        <n v="855"/>
        <n v="7513"/>
        <n v="753"/>
        <n v="18445"/>
        <n v="8454"/>
        <n v="9480"/>
        <n v="9453"/>
        <n v="7818"/>
        <n v="21376"/>
        <n v="23673"/>
        <n v="5436"/>
        <n v="9269"/>
        <n v="2710"/>
        <n v="16876"/>
        <n v="6089"/>
        <n v="9633"/>
        <n v="11454"/>
        <n v="11802"/>
        <n v="7705"/>
        <n v="32107"/>
        <n v="675"/>
        <n v="8543"/>
        <n v="7792"/>
        <n v="11731"/>
        <n v="10177"/>
        <n v="6015"/>
        <n v="3096"/>
        <n v="7634"/>
        <n v="79082"/>
        <n v="12046"/>
        <n v="18551"/>
        <n v="2228"/>
        <n v="9697"/>
        <n v="8259"/>
        <n v="6843"/>
        <n v="25155"/>
        <n v="1670"/>
        <n v="8169"/>
        <n v="678"/>
        <n v="11441"/>
        <n v="9836"/>
        <n v="10723"/>
        <n v="13474"/>
        <n v="14663"/>
        <n v="26677"/>
        <n v="12874"/>
        <n v="10068"/>
        <n v="4878"/>
        <n v="10182"/>
        <n v="3467"/>
        <n v="11190"/>
        <n v="6397"/>
        <n v="13524"/>
        <n v="13402"/>
        <n v="2038"/>
        <n v="11056"/>
        <n v="18098"/>
        <n v="1813"/>
        <n v="7624"/>
        <n v="7270"/>
        <n v="10854"/>
        <n v="8438"/>
        <n v="5945"/>
        <n v="2030"/>
        <n v="5132"/>
        <n v="77654"/>
        <n v="11169"/>
        <n v="12450"/>
        <n v="3413"/>
        <n v="15704"/>
        <n v="8196"/>
        <n v="7707"/>
        <n v="22470"/>
        <n v="1250"/>
        <n v="7399"/>
        <n v="1130"/>
        <n v="13794"/>
        <n v="10990"/>
        <n v="10708"/>
        <n v="18681"/>
        <n v="19063"/>
        <n v="30612"/>
        <n v="9199"/>
        <n v="9847"/>
        <n v="4277"/>
        <n v="3331"/>
        <n v="1620"/>
        <n v="8162"/>
        <n v="7592"/>
        <n v="11322"/>
        <n v="16853"/>
        <n v="7118"/>
        <n v="7245"/>
        <n v="7471"/>
        <n v="66"/>
        <n v="8325"/>
        <n v="6242"/>
        <n v="12312"/>
        <n v="4885"/>
        <n v="4732"/>
        <n v="6355"/>
        <n v="5790"/>
        <n v="105889"/>
        <n v="12815"/>
        <n v="686"/>
        <n v="7744"/>
        <n v="14648"/>
        <n v="8290"/>
        <n v="3526"/>
        <n v="12015"/>
        <n v="1905"/>
        <n v="6599"/>
        <n v="1477"/>
        <n v="11618"/>
        <n v="10761"/>
        <n v="3094"/>
        <n v="12443"/>
        <n v="9752"/>
        <n v="18830"/>
        <n v="19648"/>
        <n v="1548"/>
        <n v="417"/>
        <n v="251"/>
        <n v="1924"/>
        <n v="1502"/>
        <n v="1465"/>
        <n v="1800"/>
        <n v="961"/>
        <n v="31"/>
        <n v="2033"/>
        <n v="164"/>
        <n v="2281"/>
        <n v="420"/>
        <n v="333"/>
        <n v="172"/>
        <n v="377"/>
        <n v="13506"/>
        <n v="1330"/>
        <n v="951"/>
        <n v="1225"/>
        <n v="2064"/>
        <n v="189"/>
        <n v="152"/>
        <n v="800"/>
        <n v="367"/>
        <n v="792"/>
        <n v="218"/>
        <n v="1154"/>
        <n v="930"/>
        <n v="368"/>
        <n v="1517"/>
        <n v="215"/>
        <n v="2471"/>
        <n v="1"/>
        <n v="263"/>
        <n v="504"/>
        <n v="26"/>
        <n v="107"/>
        <n v="4"/>
        <n v="11"/>
        <n v="192"/>
        <n v="81"/>
        <n v="120"/>
        <n v="148"/>
        <n v="22"/>
        <n v="59"/>
        <n v="9"/>
        <n v="157"/>
        <n v="428"/>
        <n v="41"/>
        <n v="220"/>
        <n v="25"/>
        <n v="280"/>
        <n v="204"/>
        <n v="2"/>
        <n v="7"/>
        <n v="77"/>
        <n v="255"/>
        <n v="449"/>
        <n v="102"/>
        <n v="176"/>
        <n v="121"/>
        <n v="305"/>
        <n v="38"/>
        <n v="5"/>
        <n v="12"/>
        <n v="94"/>
        <n v="91"/>
        <n v="3"/>
        <n v="444"/>
        <n v="29"/>
        <n v="117"/>
        <n v="235"/>
        <n v="275"/>
        <n v="21"/>
        <n v="53"/>
        <n v="351"/>
        <n v="536"/>
        <n v="193"/>
        <n v="269"/>
        <n v="566"/>
        <n v="108"/>
        <n v="24"/>
        <n v="6"/>
        <n v="180"/>
        <n v="326"/>
        <n v="14"/>
        <n v="74"/>
        <n v="44"/>
        <n v="473"/>
        <n v="110"/>
        <n v="160"/>
        <n v="106"/>
        <n v="354"/>
        <n v="63"/>
        <n v="396"/>
        <n v="162"/>
        <n v="443"/>
        <n v="191"/>
        <n v="210"/>
        <n v="595"/>
        <n v="380"/>
        <n v="15"/>
        <n v="809"/>
        <n v="201"/>
        <n v="52"/>
        <n v="158"/>
        <n v="207"/>
        <n v="182"/>
        <n v="216"/>
        <n v="78"/>
        <n v="257"/>
        <n v="352"/>
        <n v="34"/>
        <n v="37"/>
        <n v="54"/>
        <n v="139"/>
        <n v="183"/>
        <n v="35"/>
        <n v="151"/>
        <n v="72"/>
        <n v="65"/>
        <n v="20"/>
        <n v="43"/>
        <n v="47"/>
        <n v="33"/>
        <n v="166"/>
        <n v="249"/>
        <n v="8"/>
      </sharedItems>
    </cacheField>
    <cacheField name="Soci Comedores Pensionados Jubl" numFmtId="1">
      <sharedItems containsSemiMixedTypes="0" containsString="0" containsNumber="1" containsInteger="1" minValue="0" maxValue="66937"/>
    </cacheField>
    <cacheField name="Fecha" numFmtId="14">
      <sharedItems containsSemiMixedTypes="0" containsNonDate="0" containsDate="1" containsString="0" minDate="2013-01-01T00:00:00" maxDate="2025-01-02T00:00:00"/>
    </cacheField>
    <cacheField name="Suma de todos los Servicios" numFmtId="1">
      <sharedItems containsSemiMixedTypes="0" containsString="0" containsNumber="1" containsInteger="1" minValue="0" maxValue="4843885" count="489">
        <n v="88177"/>
        <n v="111642"/>
        <n v="59609"/>
        <n v="178329"/>
        <n v="195809"/>
        <n v="129945"/>
        <n v="132117"/>
        <n v="118866"/>
        <n v="161906"/>
        <n v="174733"/>
        <n v="89397"/>
        <n v="200138"/>
        <n v="113268"/>
        <n v="112953"/>
        <n v="67935"/>
        <n v="173643"/>
        <n v="159398"/>
        <n v="192639"/>
        <n v="329408"/>
        <n v="73771"/>
        <n v="107558"/>
        <n v="124464"/>
        <n v="255930"/>
        <n v="79781"/>
        <n v="85839"/>
        <n v="132959"/>
        <n v="44855"/>
        <n v="190642"/>
        <n v="108296"/>
        <n v="227349"/>
        <n v="237642"/>
        <n v="278421"/>
        <n v="290525"/>
        <n v="213498"/>
        <n v="300430"/>
        <n v="4843885"/>
        <n v="78020"/>
        <n v="85345"/>
        <n v="63143"/>
        <n v="133180"/>
        <n v="69613"/>
        <n v="184775"/>
        <n v="148655"/>
        <n v="133690"/>
        <n v="46349"/>
        <n v="184456"/>
        <n v="130107"/>
        <n v="125549"/>
        <n v="90144"/>
        <n v="199756"/>
        <n v="113311"/>
        <n v="294296"/>
        <n v="234690"/>
        <n v="160110"/>
        <n v="161284"/>
        <n v="169463"/>
        <n v="382665"/>
        <n v="128853"/>
        <n v="96457"/>
        <n v="60381"/>
        <n v="328654"/>
        <n v="56159"/>
        <n v="98825"/>
        <n v="149649"/>
        <n v="53615"/>
        <n v="162909"/>
        <n v="124560"/>
        <n v="260539"/>
        <n v="245569"/>
        <n v="265940"/>
        <n v="253935"/>
        <n v="214446"/>
        <n v="302570"/>
        <n v="2908515"/>
        <n v="87770"/>
        <n v="104095"/>
        <n v="75077"/>
        <n v="142217"/>
        <n v="65591"/>
        <n v="168279"/>
        <n v="165266"/>
        <n v="124617"/>
        <n v="69060"/>
        <n v="155661"/>
        <n v="162969"/>
        <n v="107889"/>
        <n v="78596"/>
        <n v="191296"/>
        <n v="134911"/>
        <n v="298299"/>
        <n v="189018"/>
        <n v="148441"/>
        <n v="154760"/>
        <n v="177107"/>
        <n v="386880"/>
        <n v="157338"/>
        <n v="108253"/>
        <n v="43075"/>
        <n v="352623"/>
        <n v="77894"/>
        <n v="83195"/>
        <n v="128371"/>
        <n v="67874"/>
        <n v="168708"/>
        <n v="114862"/>
        <n v="267175"/>
        <n v="248596"/>
        <n v="232338"/>
        <n v="348010"/>
        <n v="196764"/>
        <n v="280247"/>
        <n v="2767456"/>
        <n v="68779"/>
        <n v="109962"/>
        <n v="31392"/>
        <n v="70858"/>
        <n v="16057"/>
        <n v="82274"/>
        <n v="120643"/>
        <n v="60033"/>
        <n v="60868"/>
        <n v="78318"/>
        <n v="77470"/>
        <n v="56949"/>
        <n v="28348"/>
        <n v="93004"/>
        <n v="125586"/>
        <n v="194393"/>
        <n v="35061"/>
        <n v="109167"/>
        <n v="65216"/>
        <n v="100377"/>
        <n v="292974"/>
        <n v="75365"/>
        <n v="62962"/>
        <n v="10265"/>
        <n v="186727"/>
        <n v="57473"/>
        <n v="90763"/>
        <n v="88943"/>
        <n v="19554"/>
        <n v="102593"/>
        <n v="58055"/>
        <n v="140604"/>
        <n v="117304"/>
        <n v="110312"/>
        <n v="172802"/>
        <n v="55249"/>
        <n v="139866"/>
        <n v="996121"/>
        <n v="47567"/>
        <n v="73308"/>
        <n v="77356"/>
        <n v="133010"/>
        <n v="63667"/>
        <n v="180515"/>
        <n v="208418"/>
        <n v="116810"/>
        <n v="133094"/>
        <n v="179492"/>
        <n v="176429"/>
        <n v="137286"/>
        <n v="75745"/>
        <n v="206945"/>
        <n v="166428"/>
        <n v="295071"/>
        <n v="119691"/>
        <n v="107724"/>
        <n v="105415"/>
        <n v="158101"/>
        <n v="450363"/>
        <n v="158867"/>
        <n v="127505"/>
        <n v="80718"/>
        <n v="300556"/>
        <n v="105100"/>
        <n v="145109"/>
        <n v="167976"/>
        <n v="56565"/>
        <n v="137870"/>
        <n v="131629"/>
        <n v="225220"/>
        <n v="266254"/>
        <n v="281029"/>
        <n v="270073"/>
        <n v="165226"/>
        <n v="302551"/>
        <n v="1150914"/>
        <n v="65312"/>
        <n v="111844"/>
        <n v="54799"/>
        <n v="126791"/>
        <n v="57775"/>
        <n v="155326"/>
        <n v="223652"/>
        <n v="131031"/>
        <n v="108850"/>
        <n v="139020"/>
        <n v="189441"/>
        <n v="109470"/>
        <n v="80989"/>
        <n v="225894"/>
        <n v="163671"/>
        <n v="298452"/>
        <n v="84921"/>
        <n v="116199"/>
        <n v="115368"/>
        <n v="145996"/>
        <n v="459232"/>
        <n v="153334"/>
        <n v="124501"/>
        <n v="81828"/>
        <n v="316814"/>
        <n v="106612"/>
        <n v="140254"/>
        <n v="180674"/>
        <n v="55037"/>
        <n v="142019"/>
        <n v="122961"/>
        <n v="214440"/>
        <n v="256818"/>
        <n v="289376"/>
        <n v="236430"/>
        <n v="220189"/>
        <n v="313541"/>
        <n v="1888180"/>
        <n v="58270"/>
        <n v="101073"/>
        <n v="48854"/>
        <n v="39256"/>
        <n v="85119"/>
        <n v="116419"/>
        <n v="218829"/>
        <n v="167095"/>
        <n v="120234"/>
        <n v="161895"/>
        <n v="190220"/>
        <n v="105642"/>
        <n v="85652"/>
        <n v="217071"/>
        <n v="136524"/>
        <n v="265081"/>
        <n v="208393"/>
        <n v="113388"/>
        <n v="141233"/>
        <n v="177880"/>
        <n v="465325"/>
        <n v="154249"/>
        <n v="83823"/>
        <n v="93827"/>
        <n v="330049"/>
        <n v="97220"/>
        <n v="98805"/>
        <n v="144145"/>
        <n v="57770"/>
        <n v="72080"/>
        <n v="112585"/>
        <n v="159620"/>
        <n v="272864"/>
        <n v="200639"/>
        <n v="323076"/>
        <n v="182353"/>
        <n v="304156"/>
        <n v="1000246"/>
        <n v="75824"/>
        <n v="117491"/>
        <n v="13958"/>
        <n v="7071"/>
        <n v="33966"/>
        <n v="65788"/>
        <n v="41169"/>
        <n v="25107"/>
        <n v="19211"/>
        <n v="21645"/>
        <n v="21878"/>
        <n v="7060"/>
        <n v="9202"/>
        <n v="45689"/>
        <n v="32611"/>
        <n v="58696"/>
        <n v="25529"/>
        <n v="14833"/>
        <n v="35627"/>
        <n v="20832"/>
        <n v="50610"/>
        <n v="26941"/>
        <n v="5899"/>
        <n v="14819"/>
        <n v="63121"/>
        <n v="2994"/>
        <n v="4848"/>
        <n v="8121"/>
        <n v="11899"/>
        <n v="21601"/>
        <n v="19003"/>
        <n v="27893"/>
        <n v="42616"/>
        <n v="56708"/>
        <n v="68472"/>
        <n v="42611"/>
        <n v="50599"/>
        <n v="148437"/>
        <n v="0"/>
        <n v="11320"/>
        <n v="486"/>
        <n v="526"/>
        <n v="50"/>
        <n v="2494"/>
        <n v="3673"/>
        <n v="4144"/>
        <n v="1176"/>
        <n v="2805"/>
        <n v="1389"/>
        <n v="1892"/>
        <n v="1476"/>
        <n v="563"/>
        <n v="2475"/>
        <n v="5236"/>
        <n v="5009"/>
        <n v="3135"/>
        <n v="889"/>
        <n v="2206"/>
        <n v="825"/>
        <n v="1376"/>
        <n v="683"/>
        <n v="1391"/>
        <n v="1275"/>
        <n v="2270"/>
        <n v="1643"/>
        <n v="25"/>
        <n v="2190"/>
        <n v="1722"/>
        <n v="2956"/>
        <n v="1743"/>
        <n v="2858"/>
        <n v="9448"/>
        <n v="6155"/>
        <n v="4251"/>
        <n v="921"/>
        <n v="16560"/>
        <n v="2876"/>
        <n v="744"/>
        <n v="912"/>
        <n v="2596"/>
        <n v="3724"/>
        <n v="10468"/>
        <n v="1578"/>
        <n v="6725"/>
        <n v="1702"/>
        <n v="14891"/>
        <n v="2888"/>
        <n v="433"/>
        <n v="4258"/>
        <n v="1516"/>
        <n v="6253"/>
        <n v="3353"/>
        <n v="1431"/>
        <n v="2284"/>
        <n v="1387"/>
        <n v="1717"/>
        <n v="1114"/>
        <n v="1284"/>
        <n v="1537"/>
        <n v="5813"/>
        <n v="171"/>
        <n v="2101"/>
        <n v="99"/>
        <n v="1987"/>
        <n v="5681"/>
        <n v="5607"/>
        <n v="4398"/>
        <n v="6540"/>
        <n v="10759"/>
        <n v="10936"/>
        <n v="4093"/>
        <n v="5220"/>
        <n v="26341"/>
        <n v="63578"/>
        <n v="3542"/>
        <n v="1361"/>
        <n v="513"/>
        <n v="4260"/>
        <n v="3686"/>
        <n v="6182"/>
        <n v="1798"/>
        <n v="2957"/>
        <n v="2034"/>
        <n v="8825"/>
        <n v="2276"/>
        <n v="400"/>
        <n v="4098"/>
        <n v="1531"/>
        <n v="6466"/>
        <n v="4257"/>
        <n v="1545"/>
        <n v="1802"/>
        <n v="1831"/>
        <n v="2173"/>
        <n v="1130"/>
        <n v="1071"/>
        <n v="1658"/>
        <n v="6359"/>
        <n v="432"/>
        <n v="2171"/>
        <n v="110"/>
        <n v="1150"/>
        <n v="3088"/>
        <n v="6430"/>
        <n v="2661"/>
        <n v="10932"/>
        <n v="10651"/>
        <n v="5311"/>
        <n v="5815"/>
        <n v="3689"/>
        <n v="56944"/>
        <n v="95902"/>
        <n v="3380"/>
        <n v="1223"/>
        <n v="1247"/>
        <n v="4414"/>
        <n v="1927"/>
        <n v="2940"/>
        <n v="3311"/>
        <n v="861"/>
        <n v="2242"/>
        <n v="1792"/>
        <n v="925"/>
        <n v="4703"/>
        <n v="1753"/>
        <n v="8329"/>
        <n v="6326"/>
        <n v="4657"/>
        <n v="1419"/>
        <n v="2000"/>
        <n v="2281"/>
        <n v="2374"/>
        <n v="1252"/>
        <n v="897"/>
        <n v="1745"/>
        <n v="6895"/>
        <n v="773"/>
        <n v="2165"/>
        <n v="130"/>
        <n v="858"/>
        <n v="3409"/>
        <n v="5769"/>
        <n v="3160"/>
        <n v="11103"/>
        <n v="10911"/>
        <n v="4978"/>
        <n v="3389"/>
        <n v="1716"/>
        <n v="2279"/>
        <n v="59343"/>
        <n v="997"/>
        <n v="64"/>
        <n v="406"/>
        <n v="1619"/>
        <n v="398"/>
        <n v="507"/>
        <n v="1475"/>
        <n v="956"/>
        <n v="446"/>
        <n v="174"/>
        <n v="609"/>
        <n v="919"/>
        <n v="462"/>
        <n v="2022"/>
        <n v="2250"/>
        <n v="1435"/>
        <n v="545"/>
        <n v="675"/>
        <n v="827"/>
        <n v="993"/>
        <n v="506"/>
        <n v="579"/>
        <n v="382"/>
        <n v="688"/>
        <n v="68"/>
        <n v="265"/>
        <n v="667"/>
        <n v="553"/>
        <n v="736"/>
        <n v="4274"/>
        <n v="4748"/>
        <n v="1310"/>
        <n v="1487"/>
        <n v="98"/>
        <n v="43763"/>
      </sharedItems>
    </cacheField>
  </cacheFields>
  <extLst>
    <ext xmlns:x14="http://schemas.microsoft.com/office/spreadsheetml/2009/9/main" uri="{725AE2AE-9491-48be-B2B4-4EB974FC3084}">
      <x14:pivotCacheDefinition pivotCacheId="747248475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aid Mariano" refreshedDate="45982.533347337965" createdVersion="8" refreshedVersion="8" minRefreshableVersion="3" recordCount="8" xr:uid="{71A40FA1-9934-4051-840D-BF1E7AA9F939}">
  <cacheSource type="worksheet">
    <worksheetSource name="Tabla3"/>
  </cacheSource>
  <cacheFields count="2">
    <cacheField name="Nombre Servicio" numFmtId="1">
      <sharedItems count="8">
        <s v="Serv. Culturales Derecho Hab Publ"/>
        <s v="Serv. Deportivos Derecho Hab Publ"/>
        <s v="Serv. Sociales Derecho Hab Publ"/>
        <s v="Serv. Funerarios Derecho Hab Publ"/>
        <s v="Serv. Sociales Pensionados Jubl"/>
        <s v="Fome Deportivo Pensionados Jubl"/>
        <s v="Serv. Culturales Pensionados Jubl"/>
        <s v="Soci Comedores Pensionados Jubl"/>
      </sharedItems>
    </cacheField>
    <cacheField name="Total de cada servicio" numFmtId="1">
      <sharedItems containsSemiMixedTypes="0" containsString="0" containsNumber="1" containsInteger="1" minValue="322484" maxValue="36375442"/>
    </cacheField>
  </cacheFields>
  <extLst>
    <ext xmlns:x14="http://schemas.microsoft.com/office/spreadsheetml/2009/9/main" uri="{725AE2AE-9491-48be-B2B4-4EB974FC3084}">
      <x14:pivotCacheDefinition pivotCacheId="1319457102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94">
  <r>
    <x v="0"/>
    <x v="0"/>
    <x v="0"/>
    <x v="0"/>
    <n v="0"/>
    <n v="195"/>
    <n v="6844"/>
    <x v="0"/>
    <x v="0"/>
    <n v="0"/>
    <d v="2013-01-01T00:00:00"/>
    <x v="0"/>
  </r>
  <r>
    <x v="0"/>
    <x v="1"/>
    <x v="1"/>
    <x v="1"/>
    <n v="0"/>
    <n v="86"/>
    <n v="1055"/>
    <x v="1"/>
    <x v="1"/>
    <n v="0"/>
    <d v="2013-01-01T00:00:00"/>
    <x v="1"/>
  </r>
  <r>
    <x v="0"/>
    <x v="2"/>
    <x v="2"/>
    <x v="2"/>
    <n v="0"/>
    <n v="34"/>
    <n v="2833"/>
    <x v="2"/>
    <x v="2"/>
    <n v="0"/>
    <d v="2013-01-01T00:00:00"/>
    <x v="2"/>
  </r>
  <r>
    <x v="0"/>
    <x v="3"/>
    <x v="3"/>
    <x v="3"/>
    <n v="0"/>
    <n v="82"/>
    <n v="5583"/>
    <x v="3"/>
    <x v="3"/>
    <n v="0"/>
    <d v="2013-01-01T00:00:00"/>
    <x v="3"/>
  </r>
  <r>
    <x v="0"/>
    <x v="4"/>
    <x v="4"/>
    <x v="4"/>
    <n v="0"/>
    <n v="4"/>
    <n v="9635"/>
    <x v="4"/>
    <x v="4"/>
    <n v="0"/>
    <d v="2013-01-01T00:00:00"/>
    <x v="4"/>
  </r>
  <r>
    <x v="0"/>
    <x v="5"/>
    <x v="5"/>
    <x v="5"/>
    <n v="0"/>
    <n v="36"/>
    <n v="6205"/>
    <x v="5"/>
    <x v="5"/>
    <n v="0"/>
    <d v="2013-01-01T00:00:00"/>
    <x v="5"/>
  </r>
  <r>
    <x v="0"/>
    <x v="6"/>
    <x v="6"/>
    <x v="6"/>
    <n v="0"/>
    <n v="200"/>
    <n v="1475"/>
    <x v="6"/>
    <x v="6"/>
    <n v="0"/>
    <d v="2013-01-01T00:00:00"/>
    <x v="6"/>
  </r>
  <r>
    <x v="0"/>
    <x v="7"/>
    <x v="7"/>
    <x v="7"/>
    <n v="0"/>
    <n v="165"/>
    <n v="11111"/>
    <x v="7"/>
    <x v="7"/>
    <n v="0"/>
    <d v="2013-01-01T00:00:00"/>
    <x v="7"/>
  </r>
  <r>
    <x v="0"/>
    <x v="8"/>
    <x v="8"/>
    <x v="8"/>
    <n v="0"/>
    <n v="22"/>
    <n v="1795"/>
    <x v="8"/>
    <x v="8"/>
    <n v="0"/>
    <d v="2013-01-01T00:00:00"/>
    <x v="8"/>
  </r>
  <r>
    <x v="0"/>
    <x v="9"/>
    <x v="9"/>
    <x v="9"/>
    <n v="0"/>
    <n v="64"/>
    <n v="1320"/>
    <x v="9"/>
    <x v="9"/>
    <n v="0"/>
    <d v="2013-01-01T00:00:00"/>
    <x v="9"/>
  </r>
  <r>
    <x v="0"/>
    <x v="10"/>
    <x v="10"/>
    <x v="10"/>
    <n v="0"/>
    <n v="72"/>
    <n v="890"/>
    <x v="10"/>
    <x v="10"/>
    <n v="0"/>
    <d v="2013-01-01T00:00:00"/>
    <x v="10"/>
  </r>
  <r>
    <x v="0"/>
    <x v="11"/>
    <x v="11"/>
    <x v="11"/>
    <n v="0"/>
    <n v="74"/>
    <n v="1114"/>
    <x v="11"/>
    <x v="11"/>
    <n v="0"/>
    <d v="2013-01-01T00:00:00"/>
    <x v="11"/>
  </r>
  <r>
    <x v="0"/>
    <x v="12"/>
    <x v="12"/>
    <x v="12"/>
    <n v="0"/>
    <n v="377"/>
    <n v="22123"/>
    <x v="12"/>
    <x v="12"/>
    <n v="0"/>
    <d v="2013-01-01T00:00:00"/>
    <x v="12"/>
  </r>
  <r>
    <x v="0"/>
    <x v="13"/>
    <x v="13"/>
    <x v="13"/>
    <n v="0"/>
    <n v="3845"/>
    <n v="0"/>
    <x v="13"/>
    <x v="13"/>
    <n v="0"/>
    <d v="2013-01-01T00:00:00"/>
    <x v="13"/>
  </r>
  <r>
    <x v="0"/>
    <x v="14"/>
    <x v="14"/>
    <x v="14"/>
    <n v="0"/>
    <n v="229"/>
    <n v="11981"/>
    <x v="14"/>
    <x v="14"/>
    <n v="0"/>
    <d v="2013-01-01T00:00:00"/>
    <x v="14"/>
  </r>
  <r>
    <x v="0"/>
    <x v="15"/>
    <x v="15"/>
    <x v="15"/>
    <n v="0"/>
    <n v="53"/>
    <n v="1487"/>
    <x v="15"/>
    <x v="15"/>
    <n v="0"/>
    <d v="2013-01-01T00:00:00"/>
    <x v="15"/>
  </r>
  <r>
    <x v="0"/>
    <x v="16"/>
    <x v="16"/>
    <x v="16"/>
    <n v="0"/>
    <n v="193"/>
    <n v="8403"/>
    <x v="16"/>
    <x v="16"/>
    <n v="0"/>
    <d v="2013-01-01T00:00:00"/>
    <x v="16"/>
  </r>
  <r>
    <x v="0"/>
    <x v="17"/>
    <x v="17"/>
    <x v="17"/>
    <n v="0"/>
    <n v="2376"/>
    <n v="9970"/>
    <x v="17"/>
    <x v="17"/>
    <n v="0"/>
    <d v="2013-01-01T00:00:00"/>
    <x v="17"/>
  </r>
  <r>
    <x v="0"/>
    <x v="18"/>
    <x v="18"/>
    <x v="18"/>
    <n v="0"/>
    <n v="94"/>
    <n v="6178"/>
    <x v="18"/>
    <x v="18"/>
    <n v="0"/>
    <d v="2013-01-01T00:00:00"/>
    <x v="18"/>
  </r>
  <r>
    <x v="0"/>
    <x v="19"/>
    <x v="19"/>
    <x v="19"/>
    <n v="0"/>
    <n v="539"/>
    <n v="5036"/>
    <x v="19"/>
    <x v="19"/>
    <n v="0"/>
    <d v="2013-01-01T00:00:00"/>
    <x v="19"/>
  </r>
  <r>
    <x v="0"/>
    <x v="20"/>
    <x v="20"/>
    <x v="20"/>
    <n v="0"/>
    <n v="47"/>
    <n v="12766"/>
    <x v="20"/>
    <x v="20"/>
    <n v="0"/>
    <d v="2013-01-01T00:00:00"/>
    <x v="20"/>
  </r>
  <r>
    <x v="0"/>
    <x v="21"/>
    <x v="21"/>
    <x v="21"/>
    <n v="0"/>
    <n v="47"/>
    <n v="6610"/>
    <x v="21"/>
    <x v="21"/>
    <n v="0"/>
    <d v="2013-01-01T00:00:00"/>
    <x v="21"/>
  </r>
  <r>
    <x v="0"/>
    <x v="22"/>
    <x v="22"/>
    <x v="22"/>
    <n v="0"/>
    <n v="60"/>
    <n v="9984"/>
    <x v="22"/>
    <x v="22"/>
    <n v="0"/>
    <d v="2013-01-01T00:00:00"/>
    <x v="22"/>
  </r>
  <r>
    <x v="0"/>
    <x v="23"/>
    <x v="23"/>
    <x v="23"/>
    <n v="0"/>
    <n v="0"/>
    <n v="4643"/>
    <x v="23"/>
    <x v="23"/>
    <n v="0"/>
    <d v="2013-01-01T00:00:00"/>
    <x v="23"/>
  </r>
  <r>
    <x v="0"/>
    <x v="24"/>
    <x v="24"/>
    <x v="24"/>
    <n v="0"/>
    <n v="37"/>
    <n v="22"/>
    <x v="24"/>
    <x v="24"/>
    <n v="0"/>
    <d v="2013-01-01T00:00:00"/>
    <x v="24"/>
  </r>
  <r>
    <x v="0"/>
    <x v="25"/>
    <x v="25"/>
    <x v="25"/>
    <n v="0"/>
    <n v="118"/>
    <n v="1783"/>
    <x v="25"/>
    <x v="25"/>
    <n v="0"/>
    <d v="2013-01-01T00:00:00"/>
    <x v="25"/>
  </r>
  <r>
    <x v="0"/>
    <x v="26"/>
    <x v="26"/>
    <x v="26"/>
    <n v="0"/>
    <n v="12"/>
    <n v="148"/>
    <x v="26"/>
    <x v="26"/>
    <n v="0"/>
    <d v="2013-01-01T00:00:00"/>
    <x v="26"/>
  </r>
  <r>
    <x v="0"/>
    <x v="27"/>
    <x v="27"/>
    <x v="27"/>
    <n v="0"/>
    <n v="78"/>
    <n v="7757"/>
    <x v="27"/>
    <x v="27"/>
    <n v="0"/>
    <d v="2013-01-01T00:00:00"/>
    <x v="27"/>
  </r>
  <r>
    <x v="0"/>
    <x v="28"/>
    <x v="28"/>
    <x v="28"/>
    <n v="0"/>
    <n v="76"/>
    <n v="3455"/>
    <x v="28"/>
    <x v="28"/>
    <n v="0"/>
    <d v="2013-01-01T00:00:00"/>
    <x v="28"/>
  </r>
  <r>
    <x v="0"/>
    <x v="29"/>
    <x v="29"/>
    <x v="29"/>
    <n v="0"/>
    <n v="11"/>
    <n v="3487"/>
    <x v="29"/>
    <x v="29"/>
    <n v="0"/>
    <d v="2013-01-01T00:00:00"/>
    <x v="29"/>
  </r>
  <r>
    <x v="0"/>
    <x v="30"/>
    <x v="30"/>
    <x v="30"/>
    <n v="0"/>
    <n v="433"/>
    <n v="6881"/>
    <x v="30"/>
    <x v="30"/>
    <n v="0"/>
    <d v="2013-01-01T00:00:00"/>
    <x v="30"/>
  </r>
  <r>
    <x v="0"/>
    <x v="31"/>
    <x v="31"/>
    <x v="31"/>
    <n v="0"/>
    <n v="6436"/>
    <n v="2112"/>
    <x v="31"/>
    <x v="31"/>
    <n v="0"/>
    <d v="2013-01-01T00:00:00"/>
    <x v="31"/>
  </r>
  <r>
    <x v="0"/>
    <x v="32"/>
    <x v="32"/>
    <x v="32"/>
    <n v="0"/>
    <n v="14131"/>
    <n v="22755"/>
    <x v="32"/>
    <x v="32"/>
    <n v="0"/>
    <d v="2013-01-01T00:00:00"/>
    <x v="32"/>
  </r>
  <r>
    <x v="0"/>
    <x v="33"/>
    <x v="33"/>
    <x v="33"/>
    <n v="0"/>
    <n v="0"/>
    <n v="5919"/>
    <x v="33"/>
    <x v="33"/>
    <n v="0"/>
    <d v="2013-01-01T00:00:00"/>
    <x v="33"/>
  </r>
  <r>
    <x v="0"/>
    <x v="34"/>
    <x v="34"/>
    <x v="34"/>
    <n v="0"/>
    <n v="2529"/>
    <n v="5574"/>
    <x v="34"/>
    <x v="34"/>
    <n v="0"/>
    <d v="2013-01-01T00:00:00"/>
    <x v="34"/>
  </r>
  <r>
    <x v="0"/>
    <x v="35"/>
    <x v="35"/>
    <x v="35"/>
    <n v="0"/>
    <n v="0"/>
    <n v="0"/>
    <x v="35"/>
    <x v="35"/>
    <n v="0"/>
    <d v="2013-01-01T00:00:00"/>
    <x v="35"/>
  </r>
  <r>
    <x v="0"/>
    <x v="36"/>
    <x v="36"/>
    <x v="35"/>
    <n v="0"/>
    <n v="0"/>
    <n v="4489"/>
    <x v="35"/>
    <x v="36"/>
    <n v="59853"/>
    <d v="2013-01-01T00:00:00"/>
    <x v="36"/>
  </r>
  <r>
    <x v="0"/>
    <x v="37"/>
    <x v="36"/>
    <x v="35"/>
    <n v="72610"/>
    <n v="0"/>
    <n v="0"/>
    <x v="35"/>
    <x v="37"/>
    <n v="12735"/>
    <d v="2013-01-01T00:00:00"/>
    <x v="37"/>
  </r>
  <r>
    <x v="1"/>
    <x v="0"/>
    <x v="37"/>
    <x v="36"/>
    <n v="0"/>
    <n v="98"/>
    <n v="3303"/>
    <x v="36"/>
    <x v="38"/>
    <n v="0"/>
    <d v="2014-01-01T00:00:00"/>
    <x v="38"/>
  </r>
  <r>
    <x v="1"/>
    <x v="1"/>
    <x v="38"/>
    <x v="37"/>
    <n v="0"/>
    <n v="78"/>
    <n v="2444"/>
    <x v="37"/>
    <x v="39"/>
    <n v="0"/>
    <d v="2014-01-01T00:00:00"/>
    <x v="39"/>
  </r>
  <r>
    <x v="1"/>
    <x v="2"/>
    <x v="39"/>
    <x v="38"/>
    <n v="0"/>
    <n v="36"/>
    <n v="1682"/>
    <x v="38"/>
    <x v="40"/>
    <n v="0"/>
    <d v="2014-01-01T00:00:00"/>
    <x v="40"/>
  </r>
  <r>
    <x v="1"/>
    <x v="3"/>
    <x v="40"/>
    <x v="39"/>
    <n v="0"/>
    <n v="77"/>
    <n v="6429"/>
    <x v="39"/>
    <x v="41"/>
    <n v="0"/>
    <d v="2014-01-01T00:00:00"/>
    <x v="41"/>
  </r>
  <r>
    <x v="1"/>
    <x v="4"/>
    <x v="41"/>
    <x v="40"/>
    <n v="0"/>
    <n v="9"/>
    <n v="7766"/>
    <x v="40"/>
    <x v="42"/>
    <n v="0"/>
    <d v="2014-01-01T00:00:00"/>
    <x v="42"/>
  </r>
  <r>
    <x v="1"/>
    <x v="5"/>
    <x v="42"/>
    <x v="41"/>
    <n v="0"/>
    <n v="83"/>
    <n v="6153"/>
    <x v="41"/>
    <x v="43"/>
    <n v="0"/>
    <d v="2014-01-01T00:00:00"/>
    <x v="43"/>
  </r>
  <r>
    <x v="1"/>
    <x v="6"/>
    <x v="43"/>
    <x v="42"/>
    <n v="0"/>
    <n v="1"/>
    <n v="924"/>
    <x v="42"/>
    <x v="44"/>
    <n v="0"/>
    <d v="2014-01-01T00:00:00"/>
    <x v="44"/>
  </r>
  <r>
    <x v="1"/>
    <x v="7"/>
    <x v="44"/>
    <x v="43"/>
    <n v="0"/>
    <n v="240"/>
    <n v="11127"/>
    <x v="43"/>
    <x v="45"/>
    <n v="0"/>
    <d v="2014-01-01T00:00:00"/>
    <x v="45"/>
  </r>
  <r>
    <x v="1"/>
    <x v="8"/>
    <x v="45"/>
    <x v="44"/>
    <n v="0"/>
    <n v="16"/>
    <n v="4429"/>
    <x v="44"/>
    <x v="46"/>
    <n v="0"/>
    <d v="2014-01-01T00:00:00"/>
    <x v="46"/>
  </r>
  <r>
    <x v="1"/>
    <x v="9"/>
    <x v="46"/>
    <x v="45"/>
    <n v="0"/>
    <n v="95"/>
    <n v="0"/>
    <x v="45"/>
    <x v="47"/>
    <n v="0"/>
    <d v="2014-01-01T00:00:00"/>
    <x v="47"/>
  </r>
  <r>
    <x v="1"/>
    <x v="10"/>
    <x v="47"/>
    <x v="46"/>
    <n v="0"/>
    <n v="81"/>
    <n v="1010"/>
    <x v="46"/>
    <x v="48"/>
    <n v="0"/>
    <d v="2014-01-01T00:00:00"/>
    <x v="48"/>
  </r>
  <r>
    <x v="1"/>
    <x v="11"/>
    <x v="48"/>
    <x v="47"/>
    <n v="0"/>
    <n v="74"/>
    <n v="1226"/>
    <x v="47"/>
    <x v="49"/>
    <n v="0"/>
    <d v="2014-01-01T00:00:00"/>
    <x v="49"/>
  </r>
  <r>
    <x v="1"/>
    <x v="12"/>
    <x v="49"/>
    <x v="48"/>
    <n v="0"/>
    <n v="447"/>
    <n v="11373"/>
    <x v="48"/>
    <x v="50"/>
    <n v="0"/>
    <d v="2014-01-01T00:00:00"/>
    <x v="50"/>
  </r>
  <r>
    <x v="1"/>
    <x v="13"/>
    <x v="50"/>
    <x v="49"/>
    <n v="0"/>
    <n v="4273"/>
    <n v="470"/>
    <x v="49"/>
    <x v="51"/>
    <n v="0"/>
    <d v="2014-01-01T00:00:00"/>
    <x v="51"/>
  </r>
  <r>
    <x v="1"/>
    <x v="14"/>
    <x v="51"/>
    <x v="50"/>
    <n v="0"/>
    <n v="219"/>
    <n v="19217"/>
    <x v="50"/>
    <x v="52"/>
    <n v="0"/>
    <d v="2014-01-01T00:00:00"/>
    <x v="52"/>
  </r>
  <r>
    <x v="1"/>
    <x v="15"/>
    <x v="52"/>
    <x v="51"/>
    <n v="0"/>
    <n v="55"/>
    <n v="1699"/>
    <x v="51"/>
    <x v="53"/>
    <n v="0"/>
    <d v="2014-01-01T00:00:00"/>
    <x v="53"/>
  </r>
  <r>
    <x v="1"/>
    <x v="16"/>
    <x v="53"/>
    <x v="52"/>
    <n v="0"/>
    <n v="183"/>
    <n v="7051"/>
    <x v="52"/>
    <x v="54"/>
    <n v="0"/>
    <d v="2014-01-01T00:00:00"/>
    <x v="54"/>
  </r>
  <r>
    <x v="1"/>
    <x v="17"/>
    <x v="54"/>
    <x v="53"/>
    <n v="0"/>
    <n v="2478"/>
    <n v="10718"/>
    <x v="53"/>
    <x v="55"/>
    <n v="0"/>
    <d v="2014-01-01T00:00:00"/>
    <x v="55"/>
  </r>
  <r>
    <x v="1"/>
    <x v="18"/>
    <x v="55"/>
    <x v="54"/>
    <n v="0"/>
    <n v="85"/>
    <n v="34685"/>
    <x v="54"/>
    <x v="56"/>
    <n v="0"/>
    <d v="2014-01-01T00:00:00"/>
    <x v="56"/>
  </r>
  <r>
    <x v="1"/>
    <x v="19"/>
    <x v="56"/>
    <x v="55"/>
    <n v="0"/>
    <n v="321"/>
    <n v="4632"/>
    <x v="55"/>
    <x v="57"/>
    <n v="0"/>
    <d v="2014-01-01T00:00:00"/>
    <x v="57"/>
  </r>
  <r>
    <x v="1"/>
    <x v="20"/>
    <x v="57"/>
    <x v="56"/>
    <n v="0"/>
    <n v="58"/>
    <n v="10584"/>
    <x v="56"/>
    <x v="58"/>
    <n v="0"/>
    <d v="2014-01-01T00:00:00"/>
    <x v="58"/>
  </r>
  <r>
    <x v="1"/>
    <x v="21"/>
    <x v="58"/>
    <x v="57"/>
    <n v="0"/>
    <n v="0"/>
    <n v="620"/>
    <x v="57"/>
    <x v="59"/>
    <n v="0"/>
    <d v="2014-01-01T00:00:00"/>
    <x v="59"/>
  </r>
  <r>
    <x v="1"/>
    <x v="22"/>
    <x v="59"/>
    <x v="58"/>
    <n v="0"/>
    <n v="166"/>
    <n v="16736"/>
    <x v="58"/>
    <x v="60"/>
    <n v="0"/>
    <d v="2014-01-01T00:00:00"/>
    <x v="60"/>
  </r>
  <r>
    <x v="1"/>
    <x v="23"/>
    <x v="60"/>
    <x v="59"/>
    <n v="0"/>
    <n v="0"/>
    <n v="5180"/>
    <x v="59"/>
    <x v="61"/>
    <n v="0"/>
    <d v="2014-01-01T00:00:00"/>
    <x v="61"/>
  </r>
  <r>
    <x v="1"/>
    <x v="24"/>
    <x v="61"/>
    <x v="60"/>
    <n v="0"/>
    <n v="56"/>
    <n v="3774"/>
    <x v="60"/>
    <x v="62"/>
    <n v="0"/>
    <d v="2014-01-01T00:00:00"/>
    <x v="62"/>
  </r>
  <r>
    <x v="1"/>
    <x v="25"/>
    <x v="62"/>
    <x v="61"/>
    <n v="0"/>
    <n v="93"/>
    <n v="2196"/>
    <x v="61"/>
    <x v="63"/>
    <n v="0"/>
    <d v="2014-01-01T00:00:00"/>
    <x v="63"/>
  </r>
  <r>
    <x v="1"/>
    <x v="26"/>
    <x v="63"/>
    <x v="62"/>
    <n v="0"/>
    <n v="6"/>
    <n v="748"/>
    <x v="26"/>
    <x v="64"/>
    <n v="0"/>
    <d v="2014-01-01T00:00:00"/>
    <x v="64"/>
  </r>
  <r>
    <x v="1"/>
    <x v="27"/>
    <x v="64"/>
    <x v="63"/>
    <n v="0"/>
    <n v="115"/>
    <n v="7377"/>
    <x v="62"/>
    <x v="65"/>
    <n v="0"/>
    <d v="2014-01-01T00:00:00"/>
    <x v="65"/>
  </r>
  <r>
    <x v="1"/>
    <x v="28"/>
    <x v="65"/>
    <x v="64"/>
    <n v="0"/>
    <n v="63"/>
    <n v="3784"/>
    <x v="63"/>
    <x v="66"/>
    <n v="0"/>
    <d v="2014-01-01T00:00:00"/>
    <x v="66"/>
  </r>
  <r>
    <x v="1"/>
    <x v="29"/>
    <x v="66"/>
    <x v="65"/>
    <n v="0"/>
    <n v="86"/>
    <n v="19708"/>
    <x v="64"/>
    <x v="67"/>
    <n v="0"/>
    <d v="2014-01-01T00:00:00"/>
    <x v="67"/>
  </r>
  <r>
    <x v="1"/>
    <x v="30"/>
    <x v="67"/>
    <x v="66"/>
    <n v="0"/>
    <n v="407"/>
    <n v="13137"/>
    <x v="65"/>
    <x v="68"/>
    <n v="0"/>
    <d v="2014-01-01T00:00:00"/>
    <x v="68"/>
  </r>
  <r>
    <x v="1"/>
    <x v="31"/>
    <x v="68"/>
    <x v="67"/>
    <n v="0"/>
    <n v="5677"/>
    <n v="3537"/>
    <x v="66"/>
    <x v="69"/>
    <n v="0"/>
    <d v="2014-01-01T00:00:00"/>
    <x v="69"/>
  </r>
  <r>
    <x v="1"/>
    <x v="32"/>
    <x v="69"/>
    <x v="68"/>
    <n v="0"/>
    <n v="13462"/>
    <n v="17024"/>
    <x v="67"/>
    <x v="70"/>
    <n v="0"/>
    <d v="2014-01-01T00:00:00"/>
    <x v="70"/>
  </r>
  <r>
    <x v="1"/>
    <x v="33"/>
    <x v="70"/>
    <x v="69"/>
    <n v="0"/>
    <n v="0"/>
    <n v="10472"/>
    <x v="68"/>
    <x v="71"/>
    <n v="0"/>
    <d v="2014-01-01T00:00:00"/>
    <x v="71"/>
  </r>
  <r>
    <x v="1"/>
    <x v="34"/>
    <x v="71"/>
    <x v="70"/>
    <n v="0"/>
    <n v="2558"/>
    <n v="5203"/>
    <x v="69"/>
    <x v="72"/>
    <n v="0"/>
    <d v="2014-01-01T00:00:00"/>
    <x v="72"/>
  </r>
  <r>
    <x v="1"/>
    <x v="38"/>
    <x v="72"/>
    <x v="35"/>
    <n v="0"/>
    <n v="0"/>
    <n v="0"/>
    <x v="35"/>
    <x v="73"/>
    <n v="0"/>
    <d v="2014-01-01T00:00:00"/>
    <x v="73"/>
  </r>
  <r>
    <x v="1"/>
    <x v="36"/>
    <x v="36"/>
    <x v="35"/>
    <n v="0"/>
    <n v="0"/>
    <n v="5077"/>
    <x v="35"/>
    <x v="74"/>
    <n v="66937"/>
    <d v="2014-01-01T00:00:00"/>
    <x v="74"/>
  </r>
  <r>
    <x v="1"/>
    <x v="37"/>
    <x v="36"/>
    <x v="35"/>
    <n v="78209"/>
    <n v="0"/>
    <n v="0"/>
    <x v="35"/>
    <x v="37"/>
    <n v="25886"/>
    <d v="2014-01-01T00:00:00"/>
    <x v="75"/>
  </r>
  <r>
    <x v="2"/>
    <x v="0"/>
    <x v="73"/>
    <x v="71"/>
    <n v="0"/>
    <n v="30"/>
    <n v="462"/>
    <x v="70"/>
    <x v="75"/>
    <n v="0"/>
    <d v="2015-01-01T00:00:00"/>
    <x v="76"/>
  </r>
  <r>
    <x v="2"/>
    <x v="1"/>
    <x v="74"/>
    <x v="72"/>
    <n v="0"/>
    <n v="50"/>
    <n v="2295"/>
    <x v="71"/>
    <x v="76"/>
    <n v="0"/>
    <d v="2015-01-01T00:00:00"/>
    <x v="77"/>
  </r>
  <r>
    <x v="2"/>
    <x v="2"/>
    <x v="75"/>
    <x v="73"/>
    <n v="0"/>
    <n v="10"/>
    <n v="1700"/>
    <x v="72"/>
    <x v="77"/>
    <n v="0"/>
    <d v="2015-01-01T00:00:00"/>
    <x v="78"/>
  </r>
  <r>
    <x v="2"/>
    <x v="3"/>
    <x v="76"/>
    <x v="74"/>
    <n v="0"/>
    <n v="79"/>
    <n v="6690"/>
    <x v="73"/>
    <x v="78"/>
    <n v="0"/>
    <d v="2015-01-01T00:00:00"/>
    <x v="79"/>
  </r>
  <r>
    <x v="2"/>
    <x v="4"/>
    <x v="77"/>
    <x v="75"/>
    <n v="0"/>
    <n v="18"/>
    <n v="8350"/>
    <x v="74"/>
    <x v="79"/>
    <n v="0"/>
    <d v="2015-01-01T00:00:00"/>
    <x v="80"/>
  </r>
  <r>
    <x v="2"/>
    <x v="5"/>
    <x v="78"/>
    <x v="76"/>
    <n v="0"/>
    <n v="95"/>
    <n v="6191"/>
    <x v="75"/>
    <x v="80"/>
    <n v="0"/>
    <d v="2015-01-01T00:00:00"/>
    <x v="81"/>
  </r>
  <r>
    <x v="2"/>
    <x v="6"/>
    <x v="79"/>
    <x v="77"/>
    <n v="0"/>
    <n v="0"/>
    <n v="711"/>
    <x v="76"/>
    <x v="81"/>
    <n v="0"/>
    <d v="2015-01-01T00:00:00"/>
    <x v="82"/>
  </r>
  <r>
    <x v="2"/>
    <x v="7"/>
    <x v="80"/>
    <x v="78"/>
    <n v="0"/>
    <n v="153"/>
    <n v="7142"/>
    <x v="77"/>
    <x v="82"/>
    <n v="0"/>
    <d v="2015-01-01T00:00:00"/>
    <x v="83"/>
  </r>
  <r>
    <x v="2"/>
    <x v="8"/>
    <x v="81"/>
    <x v="79"/>
    <n v="0"/>
    <n v="30"/>
    <n v="8356"/>
    <x v="78"/>
    <x v="83"/>
    <n v="0"/>
    <d v="2015-01-01T00:00:00"/>
    <x v="84"/>
  </r>
  <r>
    <x v="2"/>
    <x v="9"/>
    <x v="82"/>
    <x v="80"/>
    <n v="0"/>
    <n v="61"/>
    <n v="595"/>
    <x v="79"/>
    <x v="84"/>
    <n v="0"/>
    <d v="2015-01-01T00:00:00"/>
    <x v="85"/>
  </r>
  <r>
    <x v="2"/>
    <x v="10"/>
    <x v="83"/>
    <x v="81"/>
    <n v="0"/>
    <n v="55"/>
    <n v="1400"/>
    <x v="80"/>
    <x v="85"/>
    <n v="0"/>
    <d v="2015-01-01T00:00:00"/>
    <x v="86"/>
  </r>
  <r>
    <x v="2"/>
    <x v="11"/>
    <x v="84"/>
    <x v="82"/>
    <n v="0"/>
    <n v="58"/>
    <n v="1319"/>
    <x v="81"/>
    <x v="86"/>
    <n v="0"/>
    <d v="2015-01-01T00:00:00"/>
    <x v="87"/>
  </r>
  <r>
    <x v="2"/>
    <x v="12"/>
    <x v="85"/>
    <x v="83"/>
    <n v="0"/>
    <n v="232"/>
    <n v="35664"/>
    <x v="82"/>
    <x v="87"/>
    <n v="0"/>
    <d v="2015-01-01T00:00:00"/>
    <x v="88"/>
  </r>
  <r>
    <x v="2"/>
    <x v="13"/>
    <x v="86"/>
    <x v="84"/>
    <n v="0"/>
    <n v="2770"/>
    <n v="5211"/>
    <x v="83"/>
    <x v="88"/>
    <n v="0"/>
    <d v="2015-01-01T00:00:00"/>
    <x v="89"/>
  </r>
  <r>
    <x v="2"/>
    <x v="14"/>
    <x v="87"/>
    <x v="85"/>
    <n v="0"/>
    <n v="0"/>
    <n v="32440"/>
    <x v="84"/>
    <x v="89"/>
    <n v="0"/>
    <d v="2015-01-01T00:00:00"/>
    <x v="90"/>
  </r>
  <r>
    <x v="2"/>
    <x v="15"/>
    <x v="88"/>
    <x v="86"/>
    <n v="0"/>
    <n v="60"/>
    <n v="2188"/>
    <x v="85"/>
    <x v="90"/>
    <n v="0"/>
    <d v="2015-01-01T00:00:00"/>
    <x v="91"/>
  </r>
  <r>
    <x v="2"/>
    <x v="16"/>
    <x v="89"/>
    <x v="87"/>
    <n v="0"/>
    <n v="202"/>
    <n v="6477"/>
    <x v="48"/>
    <x v="91"/>
    <n v="0"/>
    <d v="2015-01-01T00:00:00"/>
    <x v="92"/>
  </r>
  <r>
    <x v="2"/>
    <x v="17"/>
    <x v="90"/>
    <x v="88"/>
    <n v="0"/>
    <n v="2745"/>
    <n v="10644"/>
    <x v="86"/>
    <x v="92"/>
    <n v="0"/>
    <d v="2015-01-01T00:00:00"/>
    <x v="93"/>
  </r>
  <r>
    <x v="2"/>
    <x v="18"/>
    <x v="91"/>
    <x v="89"/>
    <n v="0"/>
    <n v="53"/>
    <n v="30884"/>
    <x v="87"/>
    <x v="93"/>
    <n v="0"/>
    <d v="2015-01-01T00:00:00"/>
    <x v="94"/>
  </r>
  <r>
    <x v="2"/>
    <x v="19"/>
    <x v="92"/>
    <x v="90"/>
    <n v="0"/>
    <n v="240"/>
    <n v="6392"/>
    <x v="88"/>
    <x v="94"/>
    <n v="0"/>
    <d v="2015-01-01T00:00:00"/>
    <x v="95"/>
  </r>
  <r>
    <x v="2"/>
    <x v="20"/>
    <x v="93"/>
    <x v="91"/>
    <n v="0"/>
    <n v="13"/>
    <n v="9292"/>
    <x v="89"/>
    <x v="95"/>
    <n v="0"/>
    <d v="2015-01-01T00:00:00"/>
    <x v="96"/>
  </r>
  <r>
    <x v="2"/>
    <x v="21"/>
    <x v="94"/>
    <x v="92"/>
    <n v="0"/>
    <n v="0"/>
    <n v="0"/>
    <x v="90"/>
    <x v="96"/>
    <n v="0"/>
    <d v="2015-01-01T00:00:00"/>
    <x v="97"/>
  </r>
  <r>
    <x v="2"/>
    <x v="22"/>
    <x v="95"/>
    <x v="93"/>
    <n v="0"/>
    <n v="97"/>
    <n v="16522"/>
    <x v="91"/>
    <x v="97"/>
    <n v="0"/>
    <d v="2015-01-01T00:00:00"/>
    <x v="98"/>
  </r>
  <r>
    <x v="2"/>
    <x v="23"/>
    <x v="96"/>
    <x v="94"/>
    <n v="0"/>
    <n v="0"/>
    <n v="5059"/>
    <x v="92"/>
    <x v="98"/>
    <n v="0"/>
    <d v="2015-01-01T00:00:00"/>
    <x v="99"/>
  </r>
  <r>
    <x v="2"/>
    <x v="24"/>
    <x v="97"/>
    <x v="95"/>
    <n v="0"/>
    <n v="1"/>
    <n v="1349"/>
    <x v="93"/>
    <x v="99"/>
    <n v="0"/>
    <d v="2015-01-01T00:00:00"/>
    <x v="100"/>
  </r>
  <r>
    <x v="2"/>
    <x v="25"/>
    <x v="98"/>
    <x v="96"/>
    <n v="0"/>
    <n v="89"/>
    <n v="2136"/>
    <x v="94"/>
    <x v="100"/>
    <n v="0"/>
    <d v="2015-01-01T00:00:00"/>
    <x v="101"/>
  </r>
  <r>
    <x v="2"/>
    <x v="26"/>
    <x v="60"/>
    <x v="97"/>
    <n v="0"/>
    <n v="13"/>
    <n v="753"/>
    <x v="26"/>
    <x v="101"/>
    <n v="0"/>
    <d v="2015-01-01T00:00:00"/>
    <x v="102"/>
  </r>
  <r>
    <x v="2"/>
    <x v="27"/>
    <x v="99"/>
    <x v="98"/>
    <n v="0"/>
    <n v="119"/>
    <n v="8598"/>
    <x v="95"/>
    <x v="102"/>
    <n v="0"/>
    <d v="2015-01-01T00:00:00"/>
    <x v="103"/>
  </r>
  <r>
    <x v="2"/>
    <x v="28"/>
    <x v="100"/>
    <x v="99"/>
    <n v="0"/>
    <n v="58"/>
    <n v="3934"/>
    <x v="96"/>
    <x v="103"/>
    <n v="0"/>
    <d v="2015-01-01T00:00:00"/>
    <x v="104"/>
  </r>
  <r>
    <x v="2"/>
    <x v="29"/>
    <x v="101"/>
    <x v="100"/>
    <n v="0"/>
    <n v="131"/>
    <n v="18376"/>
    <x v="97"/>
    <x v="104"/>
    <n v="0"/>
    <d v="2015-01-01T00:00:00"/>
    <x v="105"/>
  </r>
  <r>
    <x v="2"/>
    <x v="30"/>
    <x v="102"/>
    <x v="101"/>
    <n v="0"/>
    <n v="370"/>
    <n v="12570"/>
    <x v="98"/>
    <x v="105"/>
    <n v="0"/>
    <d v="2015-01-01T00:00:00"/>
    <x v="106"/>
  </r>
  <r>
    <x v="2"/>
    <x v="31"/>
    <x v="103"/>
    <x v="102"/>
    <n v="0"/>
    <n v="5450"/>
    <n v="2730"/>
    <x v="99"/>
    <x v="106"/>
    <n v="0"/>
    <d v="2015-01-01T00:00:00"/>
    <x v="107"/>
  </r>
  <r>
    <x v="2"/>
    <x v="32"/>
    <x v="104"/>
    <x v="103"/>
    <n v="0"/>
    <n v="10506"/>
    <n v="11585"/>
    <x v="100"/>
    <x v="107"/>
    <n v="0"/>
    <d v="2015-01-01T00:00:00"/>
    <x v="108"/>
  </r>
  <r>
    <x v="2"/>
    <x v="33"/>
    <x v="105"/>
    <x v="104"/>
    <n v="0"/>
    <n v="54"/>
    <n v="12486"/>
    <x v="101"/>
    <x v="108"/>
    <n v="0"/>
    <d v="2015-01-01T00:00:00"/>
    <x v="109"/>
  </r>
  <r>
    <x v="2"/>
    <x v="34"/>
    <x v="106"/>
    <x v="105"/>
    <n v="0"/>
    <n v="2363"/>
    <n v="2813"/>
    <x v="102"/>
    <x v="109"/>
    <n v="0"/>
    <d v="2015-01-01T00:00:00"/>
    <x v="110"/>
  </r>
  <r>
    <x v="2"/>
    <x v="35"/>
    <x v="107"/>
    <x v="35"/>
    <n v="0"/>
    <n v="0"/>
    <n v="0"/>
    <x v="35"/>
    <x v="110"/>
    <n v="0"/>
    <d v="2015-01-01T00:00:00"/>
    <x v="111"/>
  </r>
  <r>
    <x v="2"/>
    <x v="36"/>
    <x v="36"/>
    <x v="35"/>
    <n v="0"/>
    <n v="0"/>
    <n v="5012"/>
    <x v="35"/>
    <x v="37"/>
    <n v="63767"/>
    <d v="2015-01-01T00:00:00"/>
    <x v="112"/>
  </r>
  <r>
    <x v="2"/>
    <x v="37"/>
    <x v="36"/>
    <x v="35"/>
    <n v="81804"/>
    <n v="0"/>
    <n v="0"/>
    <x v="35"/>
    <x v="37"/>
    <n v="28158"/>
    <d v="2015-01-01T00:00:00"/>
    <x v="113"/>
  </r>
  <r>
    <x v="3"/>
    <x v="0"/>
    <x v="108"/>
    <x v="35"/>
    <n v="0"/>
    <n v="0"/>
    <n v="1023"/>
    <x v="49"/>
    <x v="111"/>
    <n v="0"/>
    <d v="2016-01-01T00:00:00"/>
    <x v="114"/>
  </r>
  <r>
    <x v="3"/>
    <x v="39"/>
    <x v="109"/>
    <x v="35"/>
    <n v="0"/>
    <n v="0"/>
    <n v="2478"/>
    <x v="88"/>
    <x v="112"/>
    <n v="0"/>
    <d v="2016-01-01T00:00:00"/>
    <x v="115"/>
  </r>
  <r>
    <x v="3"/>
    <x v="2"/>
    <x v="110"/>
    <x v="35"/>
    <n v="0"/>
    <n v="0"/>
    <n v="868"/>
    <x v="103"/>
    <x v="113"/>
    <n v="0"/>
    <d v="2016-01-01T00:00:00"/>
    <x v="116"/>
  </r>
  <r>
    <x v="3"/>
    <x v="3"/>
    <x v="111"/>
    <x v="35"/>
    <n v="0"/>
    <n v="0"/>
    <n v="4602"/>
    <x v="38"/>
    <x v="114"/>
    <n v="0"/>
    <d v="2016-01-01T00:00:00"/>
    <x v="117"/>
  </r>
  <r>
    <x v="3"/>
    <x v="4"/>
    <x v="112"/>
    <x v="35"/>
    <n v="0"/>
    <n v="0"/>
    <n v="52128"/>
    <x v="104"/>
    <x v="115"/>
    <n v="0"/>
    <d v="2016-01-01T00:00:00"/>
    <x v="118"/>
  </r>
  <r>
    <x v="3"/>
    <x v="5"/>
    <x v="113"/>
    <x v="35"/>
    <n v="0"/>
    <n v="0"/>
    <n v="4738"/>
    <x v="105"/>
    <x v="116"/>
    <n v="0"/>
    <d v="2016-01-01T00:00:00"/>
    <x v="119"/>
  </r>
  <r>
    <x v="3"/>
    <x v="6"/>
    <x v="114"/>
    <x v="35"/>
    <n v="0"/>
    <n v="0"/>
    <n v="3564"/>
    <x v="106"/>
    <x v="117"/>
    <n v="0"/>
    <d v="2016-01-01T00:00:00"/>
    <x v="120"/>
  </r>
  <r>
    <x v="3"/>
    <x v="7"/>
    <x v="115"/>
    <x v="35"/>
    <n v="0"/>
    <n v="0"/>
    <n v="12624"/>
    <x v="107"/>
    <x v="118"/>
    <n v="0"/>
    <d v="2016-01-01T00:00:00"/>
    <x v="121"/>
  </r>
  <r>
    <x v="3"/>
    <x v="8"/>
    <x v="116"/>
    <x v="35"/>
    <n v="0"/>
    <n v="0"/>
    <n v="3800"/>
    <x v="108"/>
    <x v="119"/>
    <n v="0"/>
    <d v="2016-01-01T00:00:00"/>
    <x v="122"/>
  </r>
  <r>
    <x v="3"/>
    <x v="9"/>
    <x v="117"/>
    <x v="35"/>
    <n v="0"/>
    <n v="0"/>
    <n v="9034"/>
    <x v="109"/>
    <x v="120"/>
    <n v="0"/>
    <d v="2016-01-01T00:00:00"/>
    <x v="123"/>
  </r>
  <r>
    <x v="3"/>
    <x v="10"/>
    <x v="118"/>
    <x v="35"/>
    <n v="0"/>
    <n v="0"/>
    <n v="1400"/>
    <x v="110"/>
    <x v="121"/>
    <n v="0"/>
    <d v="2016-01-01T00:00:00"/>
    <x v="124"/>
  </r>
  <r>
    <x v="3"/>
    <x v="11"/>
    <x v="119"/>
    <x v="35"/>
    <n v="0"/>
    <n v="0"/>
    <n v="3264"/>
    <x v="111"/>
    <x v="122"/>
    <n v="0"/>
    <d v="2016-01-01T00:00:00"/>
    <x v="125"/>
  </r>
  <r>
    <x v="3"/>
    <x v="12"/>
    <x v="120"/>
    <x v="35"/>
    <n v="0"/>
    <n v="0"/>
    <n v="8657"/>
    <x v="112"/>
    <x v="123"/>
    <n v="0"/>
    <d v="2016-01-01T00:00:00"/>
    <x v="126"/>
  </r>
  <r>
    <x v="3"/>
    <x v="13"/>
    <x v="121"/>
    <x v="35"/>
    <n v="0"/>
    <n v="0"/>
    <n v="5180"/>
    <x v="113"/>
    <x v="124"/>
    <n v="0"/>
    <d v="2016-01-01T00:00:00"/>
    <x v="127"/>
  </r>
  <r>
    <x v="3"/>
    <x v="14"/>
    <x v="122"/>
    <x v="35"/>
    <n v="0"/>
    <n v="0"/>
    <n v="5618"/>
    <x v="114"/>
    <x v="125"/>
    <n v="0"/>
    <d v="2016-01-01T00:00:00"/>
    <x v="128"/>
  </r>
  <r>
    <x v="3"/>
    <x v="15"/>
    <x v="123"/>
    <x v="35"/>
    <n v="0"/>
    <n v="0"/>
    <n v="1835"/>
    <x v="115"/>
    <x v="126"/>
    <n v="0"/>
    <d v="2016-01-01T00:00:00"/>
    <x v="129"/>
  </r>
  <r>
    <x v="3"/>
    <x v="16"/>
    <x v="124"/>
    <x v="35"/>
    <n v="0"/>
    <n v="0"/>
    <n v="3316"/>
    <x v="116"/>
    <x v="127"/>
    <n v="0"/>
    <d v="2016-01-01T00:00:00"/>
    <x v="130"/>
  </r>
  <r>
    <x v="3"/>
    <x v="17"/>
    <x v="125"/>
    <x v="35"/>
    <n v="0"/>
    <n v="0"/>
    <n v="3604"/>
    <x v="117"/>
    <x v="128"/>
    <n v="0"/>
    <d v="2016-01-01T00:00:00"/>
    <x v="131"/>
  </r>
  <r>
    <x v="3"/>
    <x v="18"/>
    <x v="126"/>
    <x v="35"/>
    <n v="0"/>
    <n v="0"/>
    <n v="26559"/>
    <x v="118"/>
    <x v="129"/>
    <n v="0"/>
    <d v="2016-01-01T00:00:00"/>
    <x v="132"/>
  </r>
  <r>
    <x v="3"/>
    <x v="19"/>
    <x v="127"/>
    <x v="35"/>
    <n v="0"/>
    <n v="0"/>
    <n v="4984"/>
    <x v="119"/>
    <x v="130"/>
    <n v="0"/>
    <d v="2016-01-01T00:00:00"/>
    <x v="133"/>
  </r>
  <r>
    <x v="3"/>
    <x v="20"/>
    <x v="128"/>
    <x v="35"/>
    <n v="0"/>
    <n v="0"/>
    <n v="7915"/>
    <x v="120"/>
    <x v="131"/>
    <n v="0"/>
    <d v="2016-01-01T00:00:00"/>
    <x v="134"/>
  </r>
  <r>
    <x v="3"/>
    <x v="21"/>
    <x v="129"/>
    <x v="35"/>
    <n v="0"/>
    <n v="0"/>
    <n v="0"/>
    <x v="121"/>
    <x v="132"/>
    <n v="0"/>
    <d v="2016-01-01T00:00:00"/>
    <x v="135"/>
  </r>
  <r>
    <x v="3"/>
    <x v="22"/>
    <x v="130"/>
    <x v="35"/>
    <n v="0"/>
    <n v="0"/>
    <n v="6998"/>
    <x v="122"/>
    <x v="133"/>
    <n v="0"/>
    <d v="2016-01-01T00:00:00"/>
    <x v="136"/>
  </r>
  <r>
    <x v="3"/>
    <x v="23"/>
    <x v="131"/>
    <x v="35"/>
    <n v="0"/>
    <n v="0"/>
    <n v="3872"/>
    <x v="123"/>
    <x v="134"/>
    <n v="0"/>
    <d v="2016-01-01T00:00:00"/>
    <x v="137"/>
  </r>
  <r>
    <x v="3"/>
    <x v="24"/>
    <x v="132"/>
    <x v="35"/>
    <n v="0"/>
    <n v="0"/>
    <n v="1392"/>
    <x v="124"/>
    <x v="135"/>
    <n v="0"/>
    <d v="2016-01-01T00:00:00"/>
    <x v="138"/>
  </r>
  <r>
    <x v="3"/>
    <x v="25"/>
    <x v="133"/>
    <x v="35"/>
    <n v="0"/>
    <n v="0"/>
    <n v="8415"/>
    <x v="125"/>
    <x v="136"/>
    <n v="0"/>
    <d v="2016-01-01T00:00:00"/>
    <x v="139"/>
  </r>
  <r>
    <x v="3"/>
    <x v="26"/>
    <x v="134"/>
    <x v="35"/>
    <n v="0"/>
    <n v="0"/>
    <n v="680"/>
    <x v="126"/>
    <x v="137"/>
    <n v="0"/>
    <d v="2016-01-01T00:00:00"/>
    <x v="140"/>
  </r>
  <r>
    <x v="3"/>
    <x v="27"/>
    <x v="135"/>
    <x v="35"/>
    <n v="0"/>
    <n v="0"/>
    <n v="6991"/>
    <x v="127"/>
    <x v="138"/>
    <n v="0"/>
    <d v="2016-01-01T00:00:00"/>
    <x v="141"/>
  </r>
  <r>
    <x v="3"/>
    <x v="28"/>
    <x v="136"/>
    <x v="35"/>
    <n v="0"/>
    <n v="0"/>
    <n v="1468"/>
    <x v="128"/>
    <x v="139"/>
    <n v="0"/>
    <d v="2016-01-01T00:00:00"/>
    <x v="142"/>
  </r>
  <r>
    <x v="3"/>
    <x v="29"/>
    <x v="137"/>
    <x v="35"/>
    <n v="0"/>
    <n v="0"/>
    <n v="15226"/>
    <x v="129"/>
    <x v="140"/>
    <n v="0"/>
    <d v="2016-01-01T00:00:00"/>
    <x v="143"/>
  </r>
  <r>
    <x v="3"/>
    <x v="30"/>
    <x v="138"/>
    <x v="35"/>
    <n v="0"/>
    <n v="0"/>
    <n v="8785"/>
    <x v="130"/>
    <x v="141"/>
    <n v="0"/>
    <d v="2016-01-01T00:00:00"/>
    <x v="144"/>
  </r>
  <r>
    <x v="3"/>
    <x v="40"/>
    <x v="139"/>
    <x v="35"/>
    <n v="0"/>
    <n v="0"/>
    <n v="2728"/>
    <x v="131"/>
    <x v="142"/>
    <n v="0"/>
    <d v="2016-01-01T00:00:00"/>
    <x v="145"/>
  </r>
  <r>
    <x v="3"/>
    <x v="41"/>
    <x v="140"/>
    <x v="35"/>
    <n v="0"/>
    <n v="0"/>
    <n v="6100"/>
    <x v="132"/>
    <x v="143"/>
    <n v="0"/>
    <d v="2016-01-01T00:00:00"/>
    <x v="146"/>
  </r>
  <r>
    <x v="3"/>
    <x v="42"/>
    <x v="141"/>
    <x v="35"/>
    <n v="0"/>
    <n v="0"/>
    <n v="9727"/>
    <x v="133"/>
    <x v="144"/>
    <n v="0"/>
    <d v="2016-01-01T00:00:00"/>
    <x v="147"/>
  </r>
  <r>
    <x v="3"/>
    <x v="43"/>
    <x v="142"/>
    <x v="35"/>
    <n v="0"/>
    <n v="0"/>
    <n v="3707"/>
    <x v="134"/>
    <x v="145"/>
    <n v="0"/>
    <d v="2016-01-01T00:00:00"/>
    <x v="148"/>
  </r>
  <r>
    <x v="3"/>
    <x v="35"/>
    <x v="143"/>
    <x v="35"/>
    <n v="0"/>
    <n v="0"/>
    <n v="0"/>
    <x v="35"/>
    <x v="146"/>
    <n v="0"/>
    <d v="2016-01-01T00:00:00"/>
    <x v="149"/>
  </r>
  <r>
    <x v="3"/>
    <x v="44"/>
    <x v="36"/>
    <x v="35"/>
    <n v="0"/>
    <n v="0"/>
    <n v="6060"/>
    <x v="35"/>
    <x v="37"/>
    <n v="41507"/>
    <d v="2016-01-01T00:00:00"/>
    <x v="150"/>
  </r>
  <r>
    <x v="3"/>
    <x v="37"/>
    <x v="36"/>
    <x v="35"/>
    <n v="0"/>
    <n v="73308"/>
    <n v="0"/>
    <x v="35"/>
    <x v="37"/>
    <n v="0"/>
    <d v="2016-01-01T00:00:00"/>
    <x v="151"/>
  </r>
  <r>
    <x v="4"/>
    <x v="0"/>
    <x v="144"/>
    <x v="106"/>
    <n v="0"/>
    <n v="163"/>
    <n v="4376"/>
    <x v="135"/>
    <x v="147"/>
    <n v="0"/>
    <d v="2017-01-01T00:00:00"/>
    <x v="152"/>
  </r>
  <r>
    <x v="4"/>
    <x v="39"/>
    <x v="145"/>
    <x v="107"/>
    <n v="0"/>
    <n v="68"/>
    <n v="4873"/>
    <x v="136"/>
    <x v="148"/>
    <n v="0"/>
    <d v="2017-01-01T00:00:00"/>
    <x v="153"/>
  </r>
  <r>
    <x v="4"/>
    <x v="2"/>
    <x v="146"/>
    <x v="108"/>
    <n v="0"/>
    <n v="8"/>
    <n v="1617"/>
    <x v="137"/>
    <x v="149"/>
    <n v="0"/>
    <d v="2017-01-01T00:00:00"/>
    <x v="154"/>
  </r>
  <r>
    <x v="4"/>
    <x v="3"/>
    <x v="147"/>
    <x v="109"/>
    <n v="0"/>
    <n v="71"/>
    <n v="6956"/>
    <x v="138"/>
    <x v="150"/>
    <n v="0"/>
    <d v="2017-01-01T00:00:00"/>
    <x v="155"/>
  </r>
  <r>
    <x v="4"/>
    <x v="4"/>
    <x v="148"/>
    <x v="110"/>
    <n v="0"/>
    <n v="10"/>
    <n v="43535"/>
    <x v="139"/>
    <x v="151"/>
    <n v="0"/>
    <d v="2017-01-01T00:00:00"/>
    <x v="156"/>
  </r>
  <r>
    <x v="4"/>
    <x v="5"/>
    <x v="149"/>
    <x v="111"/>
    <n v="0"/>
    <n v="84"/>
    <n v="6429"/>
    <x v="140"/>
    <x v="152"/>
    <n v="0"/>
    <d v="2017-01-01T00:00:00"/>
    <x v="157"/>
  </r>
  <r>
    <x v="4"/>
    <x v="6"/>
    <x v="150"/>
    <x v="112"/>
    <n v="0"/>
    <n v="99"/>
    <n v="2207"/>
    <x v="141"/>
    <x v="153"/>
    <n v="0"/>
    <d v="2017-01-01T00:00:00"/>
    <x v="158"/>
  </r>
  <r>
    <x v="4"/>
    <x v="7"/>
    <x v="151"/>
    <x v="113"/>
    <n v="0"/>
    <n v="180"/>
    <n v="13584"/>
    <x v="43"/>
    <x v="154"/>
    <n v="0"/>
    <d v="2017-01-01T00:00:00"/>
    <x v="159"/>
  </r>
  <r>
    <x v="4"/>
    <x v="8"/>
    <x v="152"/>
    <x v="114"/>
    <n v="0"/>
    <n v="64"/>
    <n v="22291"/>
    <x v="142"/>
    <x v="155"/>
    <n v="0"/>
    <d v="2017-01-01T00:00:00"/>
    <x v="160"/>
  </r>
  <r>
    <x v="4"/>
    <x v="9"/>
    <x v="153"/>
    <x v="115"/>
    <n v="0"/>
    <n v="167"/>
    <n v="10913"/>
    <x v="143"/>
    <x v="156"/>
    <n v="0"/>
    <d v="2017-01-01T00:00:00"/>
    <x v="161"/>
  </r>
  <r>
    <x v="4"/>
    <x v="10"/>
    <x v="154"/>
    <x v="116"/>
    <n v="0"/>
    <n v="77"/>
    <n v="2214"/>
    <x v="144"/>
    <x v="157"/>
    <n v="0"/>
    <d v="2017-01-01T00:00:00"/>
    <x v="162"/>
  </r>
  <r>
    <x v="4"/>
    <x v="11"/>
    <x v="155"/>
    <x v="117"/>
    <n v="0"/>
    <n v="81"/>
    <n v="1583"/>
    <x v="145"/>
    <x v="158"/>
    <n v="0"/>
    <d v="2017-01-01T00:00:00"/>
    <x v="163"/>
  </r>
  <r>
    <x v="4"/>
    <x v="12"/>
    <x v="156"/>
    <x v="118"/>
    <n v="0"/>
    <n v="152"/>
    <n v="7872"/>
    <x v="146"/>
    <x v="159"/>
    <n v="0"/>
    <d v="2017-01-01T00:00:00"/>
    <x v="164"/>
  </r>
  <r>
    <x v="4"/>
    <x v="13"/>
    <x v="157"/>
    <x v="119"/>
    <n v="0"/>
    <n v="3555"/>
    <n v="6288"/>
    <x v="147"/>
    <x v="160"/>
    <n v="0"/>
    <d v="2017-01-01T00:00:00"/>
    <x v="165"/>
  </r>
  <r>
    <x v="4"/>
    <x v="14"/>
    <x v="158"/>
    <x v="120"/>
    <n v="0"/>
    <n v="5"/>
    <n v="9461"/>
    <x v="148"/>
    <x v="161"/>
    <n v="0"/>
    <d v="2017-01-01T00:00:00"/>
    <x v="166"/>
  </r>
  <r>
    <x v="4"/>
    <x v="15"/>
    <x v="159"/>
    <x v="121"/>
    <n v="0"/>
    <n v="54"/>
    <n v="2028"/>
    <x v="149"/>
    <x v="162"/>
    <n v="0"/>
    <d v="2017-01-01T00:00:00"/>
    <x v="167"/>
  </r>
  <r>
    <x v="4"/>
    <x v="16"/>
    <x v="160"/>
    <x v="122"/>
    <n v="0"/>
    <n v="265"/>
    <n v="2488"/>
    <x v="150"/>
    <x v="163"/>
    <n v="0"/>
    <d v="2017-01-01T00:00:00"/>
    <x v="168"/>
  </r>
  <r>
    <x v="4"/>
    <x v="17"/>
    <x v="161"/>
    <x v="123"/>
    <n v="0"/>
    <n v="1174"/>
    <n v="4570"/>
    <x v="151"/>
    <x v="164"/>
    <n v="0"/>
    <d v="2017-01-01T00:00:00"/>
    <x v="169"/>
  </r>
  <r>
    <x v="4"/>
    <x v="18"/>
    <x v="162"/>
    <x v="124"/>
    <n v="0"/>
    <n v="110"/>
    <n v="50835"/>
    <x v="152"/>
    <x v="165"/>
    <n v="0"/>
    <d v="2017-01-01T00:00:00"/>
    <x v="170"/>
  </r>
  <r>
    <x v="4"/>
    <x v="19"/>
    <x v="163"/>
    <x v="125"/>
    <n v="0"/>
    <n v="364"/>
    <n v="5724"/>
    <x v="153"/>
    <x v="166"/>
    <n v="0"/>
    <d v="2017-01-01T00:00:00"/>
    <x v="171"/>
  </r>
  <r>
    <x v="4"/>
    <x v="20"/>
    <x v="164"/>
    <x v="126"/>
    <n v="0"/>
    <n v="36"/>
    <n v="11962"/>
    <x v="154"/>
    <x v="167"/>
    <n v="0"/>
    <d v="2017-01-01T00:00:00"/>
    <x v="172"/>
  </r>
  <r>
    <x v="4"/>
    <x v="21"/>
    <x v="165"/>
    <x v="127"/>
    <n v="0"/>
    <n v="0"/>
    <n v="120"/>
    <x v="155"/>
    <x v="168"/>
    <n v="0"/>
    <d v="2017-01-01T00:00:00"/>
    <x v="173"/>
  </r>
  <r>
    <x v="4"/>
    <x v="22"/>
    <x v="166"/>
    <x v="128"/>
    <n v="0"/>
    <n v="98"/>
    <n v="7628"/>
    <x v="156"/>
    <x v="169"/>
    <n v="0"/>
    <d v="2017-01-01T00:00:00"/>
    <x v="174"/>
  </r>
  <r>
    <x v="4"/>
    <x v="23"/>
    <x v="167"/>
    <x v="129"/>
    <n v="0"/>
    <n v="0"/>
    <n v="12669"/>
    <x v="157"/>
    <x v="170"/>
    <n v="0"/>
    <d v="2017-01-01T00:00:00"/>
    <x v="175"/>
  </r>
  <r>
    <x v="4"/>
    <x v="24"/>
    <x v="168"/>
    <x v="130"/>
    <n v="0"/>
    <n v="50"/>
    <n v="1940"/>
    <x v="158"/>
    <x v="171"/>
    <n v="0"/>
    <d v="2017-01-01T00:00:00"/>
    <x v="176"/>
  </r>
  <r>
    <x v="4"/>
    <x v="25"/>
    <x v="169"/>
    <x v="131"/>
    <n v="0"/>
    <n v="126"/>
    <n v="6830"/>
    <x v="159"/>
    <x v="172"/>
    <n v="0"/>
    <d v="2017-01-01T00:00:00"/>
    <x v="177"/>
  </r>
  <r>
    <x v="4"/>
    <x v="26"/>
    <x v="170"/>
    <x v="132"/>
    <n v="0"/>
    <n v="10"/>
    <n v="3874"/>
    <x v="26"/>
    <x v="173"/>
    <n v="0"/>
    <d v="2017-01-01T00:00:00"/>
    <x v="178"/>
  </r>
  <r>
    <x v="4"/>
    <x v="27"/>
    <x v="171"/>
    <x v="133"/>
    <n v="0"/>
    <n v="131"/>
    <n v="6243"/>
    <x v="160"/>
    <x v="174"/>
    <n v="0"/>
    <d v="2017-01-01T00:00:00"/>
    <x v="179"/>
  </r>
  <r>
    <x v="4"/>
    <x v="28"/>
    <x v="172"/>
    <x v="134"/>
    <n v="0"/>
    <n v="97"/>
    <n v="3704"/>
    <x v="161"/>
    <x v="175"/>
    <n v="0"/>
    <d v="2017-01-01T00:00:00"/>
    <x v="180"/>
  </r>
  <r>
    <x v="4"/>
    <x v="29"/>
    <x v="173"/>
    <x v="135"/>
    <n v="0"/>
    <n v="85"/>
    <n v="15801"/>
    <x v="162"/>
    <x v="176"/>
    <n v="0"/>
    <d v="2017-01-01T00:00:00"/>
    <x v="181"/>
  </r>
  <r>
    <x v="4"/>
    <x v="30"/>
    <x v="174"/>
    <x v="136"/>
    <n v="0"/>
    <n v="424"/>
    <n v="20491"/>
    <x v="163"/>
    <x v="177"/>
    <n v="0"/>
    <d v="2017-01-01T00:00:00"/>
    <x v="182"/>
  </r>
  <r>
    <x v="4"/>
    <x v="45"/>
    <x v="175"/>
    <x v="137"/>
    <n v="0"/>
    <n v="4230"/>
    <n v="6760"/>
    <x v="164"/>
    <x v="178"/>
    <n v="0"/>
    <d v="2017-01-01T00:00:00"/>
    <x v="183"/>
  </r>
  <r>
    <x v="4"/>
    <x v="46"/>
    <x v="176"/>
    <x v="138"/>
    <n v="0"/>
    <n v="9983"/>
    <n v="5769"/>
    <x v="165"/>
    <x v="179"/>
    <n v="0"/>
    <d v="2017-01-01T00:00:00"/>
    <x v="184"/>
  </r>
  <r>
    <x v="4"/>
    <x v="47"/>
    <x v="177"/>
    <x v="139"/>
    <n v="0"/>
    <n v="147"/>
    <n v="9902"/>
    <x v="166"/>
    <x v="180"/>
    <n v="0"/>
    <d v="2017-01-01T00:00:00"/>
    <x v="185"/>
  </r>
  <r>
    <x v="4"/>
    <x v="48"/>
    <x v="178"/>
    <x v="140"/>
    <n v="0"/>
    <n v="2197"/>
    <n v="16229"/>
    <x v="167"/>
    <x v="181"/>
    <n v="0"/>
    <d v="2017-01-01T00:00:00"/>
    <x v="186"/>
  </r>
  <r>
    <x v="4"/>
    <x v="35"/>
    <x v="179"/>
    <x v="35"/>
    <n v="0"/>
    <n v="0"/>
    <n v="0"/>
    <x v="35"/>
    <x v="182"/>
    <n v="0"/>
    <d v="2017-01-01T00:00:00"/>
    <x v="187"/>
  </r>
  <r>
    <x v="4"/>
    <x v="44"/>
    <x v="36"/>
    <x v="35"/>
    <n v="0"/>
    <n v="0"/>
    <n v="3558"/>
    <x v="35"/>
    <x v="37"/>
    <n v="61754"/>
    <d v="2017-01-01T00:00:00"/>
    <x v="188"/>
  </r>
  <r>
    <x v="4"/>
    <x v="37"/>
    <x v="36"/>
    <x v="35"/>
    <n v="80090"/>
    <n v="0"/>
    <n v="0"/>
    <x v="35"/>
    <x v="183"/>
    <n v="21686"/>
    <d v="2017-01-01T00:00:00"/>
    <x v="189"/>
  </r>
  <r>
    <x v="5"/>
    <x v="0"/>
    <x v="180"/>
    <x v="141"/>
    <n v="0"/>
    <n v="63"/>
    <n v="0"/>
    <x v="168"/>
    <x v="184"/>
    <n v="0"/>
    <d v="2018-01-01T00:00:00"/>
    <x v="190"/>
  </r>
  <r>
    <x v="5"/>
    <x v="39"/>
    <x v="181"/>
    <x v="142"/>
    <n v="0"/>
    <n v="55"/>
    <n v="4987"/>
    <x v="169"/>
    <x v="185"/>
    <n v="0"/>
    <d v="2018-01-01T00:00:00"/>
    <x v="191"/>
  </r>
  <r>
    <x v="5"/>
    <x v="2"/>
    <x v="182"/>
    <x v="143"/>
    <n v="0"/>
    <n v="19"/>
    <n v="836"/>
    <x v="170"/>
    <x v="186"/>
    <n v="0"/>
    <d v="2018-01-01T00:00:00"/>
    <x v="192"/>
  </r>
  <r>
    <x v="5"/>
    <x v="3"/>
    <x v="183"/>
    <x v="144"/>
    <n v="0"/>
    <n v="52"/>
    <n v="10027"/>
    <x v="171"/>
    <x v="187"/>
    <n v="0"/>
    <d v="2018-01-01T00:00:00"/>
    <x v="193"/>
  </r>
  <r>
    <x v="5"/>
    <x v="4"/>
    <x v="184"/>
    <x v="145"/>
    <n v="0"/>
    <n v="36"/>
    <n v="45159"/>
    <x v="172"/>
    <x v="188"/>
    <n v="0"/>
    <d v="2018-01-01T00:00:00"/>
    <x v="194"/>
  </r>
  <r>
    <x v="5"/>
    <x v="5"/>
    <x v="185"/>
    <x v="146"/>
    <n v="0"/>
    <n v="29"/>
    <n v="7827"/>
    <x v="173"/>
    <x v="189"/>
    <n v="0"/>
    <d v="2018-01-01T00:00:00"/>
    <x v="195"/>
  </r>
  <r>
    <x v="5"/>
    <x v="6"/>
    <x v="186"/>
    <x v="147"/>
    <n v="0"/>
    <n v="153"/>
    <n v="2074"/>
    <x v="174"/>
    <x v="190"/>
    <n v="0"/>
    <d v="2018-01-01T00:00:00"/>
    <x v="196"/>
  </r>
  <r>
    <x v="5"/>
    <x v="7"/>
    <x v="187"/>
    <x v="148"/>
    <n v="0"/>
    <n v="163"/>
    <n v="9040"/>
    <x v="43"/>
    <x v="191"/>
    <n v="0"/>
    <d v="2018-01-01T00:00:00"/>
    <x v="197"/>
  </r>
  <r>
    <x v="5"/>
    <x v="8"/>
    <x v="188"/>
    <x v="149"/>
    <n v="0"/>
    <n v="84"/>
    <n v="21983"/>
    <x v="175"/>
    <x v="192"/>
    <n v="0"/>
    <d v="2018-01-01T00:00:00"/>
    <x v="198"/>
  </r>
  <r>
    <x v="5"/>
    <x v="9"/>
    <x v="189"/>
    <x v="150"/>
    <n v="0"/>
    <n v="108"/>
    <n v="4111"/>
    <x v="176"/>
    <x v="193"/>
    <n v="0"/>
    <d v="2018-01-01T00:00:00"/>
    <x v="199"/>
  </r>
  <r>
    <x v="5"/>
    <x v="10"/>
    <x v="190"/>
    <x v="151"/>
    <n v="0"/>
    <n v="86"/>
    <n v="2340"/>
    <x v="177"/>
    <x v="194"/>
    <n v="0"/>
    <d v="2018-01-01T00:00:00"/>
    <x v="200"/>
  </r>
  <r>
    <x v="5"/>
    <x v="11"/>
    <x v="191"/>
    <x v="152"/>
    <n v="0"/>
    <n v="101"/>
    <n v="1898"/>
    <x v="178"/>
    <x v="195"/>
    <n v="0"/>
    <d v="2018-01-01T00:00:00"/>
    <x v="201"/>
  </r>
  <r>
    <x v="5"/>
    <x v="12"/>
    <x v="192"/>
    <x v="153"/>
    <n v="0"/>
    <n v="164"/>
    <n v="9171"/>
    <x v="179"/>
    <x v="196"/>
    <n v="0"/>
    <d v="2018-01-01T00:00:00"/>
    <x v="202"/>
  </r>
  <r>
    <x v="5"/>
    <x v="13"/>
    <x v="193"/>
    <x v="154"/>
    <n v="0"/>
    <n v="3131"/>
    <n v="8336"/>
    <x v="180"/>
    <x v="197"/>
    <n v="0"/>
    <d v="2018-01-01T00:00:00"/>
    <x v="203"/>
  </r>
  <r>
    <x v="5"/>
    <x v="14"/>
    <x v="194"/>
    <x v="155"/>
    <n v="0"/>
    <n v="10"/>
    <n v="6279"/>
    <x v="181"/>
    <x v="198"/>
    <n v="0"/>
    <d v="2018-01-01T00:00:00"/>
    <x v="204"/>
  </r>
  <r>
    <x v="5"/>
    <x v="15"/>
    <x v="195"/>
    <x v="156"/>
    <n v="0"/>
    <n v="62"/>
    <n v="1803"/>
    <x v="182"/>
    <x v="199"/>
    <n v="0"/>
    <d v="2018-01-01T00:00:00"/>
    <x v="205"/>
  </r>
  <r>
    <x v="5"/>
    <x v="16"/>
    <x v="196"/>
    <x v="157"/>
    <n v="0"/>
    <n v="249"/>
    <n v="2904"/>
    <x v="183"/>
    <x v="200"/>
    <n v="0"/>
    <d v="2018-01-01T00:00:00"/>
    <x v="206"/>
  </r>
  <r>
    <x v="5"/>
    <x v="17"/>
    <x v="197"/>
    <x v="158"/>
    <n v="0"/>
    <n v="1825"/>
    <n v="3221"/>
    <x v="184"/>
    <x v="201"/>
    <n v="0"/>
    <d v="2018-01-01T00:00:00"/>
    <x v="207"/>
  </r>
  <r>
    <x v="5"/>
    <x v="18"/>
    <x v="198"/>
    <x v="159"/>
    <n v="0"/>
    <n v="103"/>
    <n v="51000"/>
    <x v="185"/>
    <x v="202"/>
    <n v="0"/>
    <d v="2018-01-01T00:00:00"/>
    <x v="208"/>
  </r>
  <r>
    <x v="5"/>
    <x v="19"/>
    <x v="199"/>
    <x v="160"/>
    <n v="0"/>
    <n v="210"/>
    <n v="6824"/>
    <x v="186"/>
    <x v="203"/>
    <n v="0"/>
    <d v="2018-01-01T00:00:00"/>
    <x v="209"/>
  </r>
  <r>
    <x v="5"/>
    <x v="20"/>
    <x v="200"/>
    <x v="161"/>
    <n v="0"/>
    <n v="15"/>
    <n v="7835"/>
    <x v="187"/>
    <x v="204"/>
    <n v="0"/>
    <d v="2018-01-01T00:00:00"/>
    <x v="210"/>
  </r>
  <r>
    <x v="5"/>
    <x v="21"/>
    <x v="201"/>
    <x v="162"/>
    <n v="0"/>
    <n v="0"/>
    <n v="11445"/>
    <x v="188"/>
    <x v="205"/>
    <n v="0"/>
    <d v="2018-01-01T00:00:00"/>
    <x v="211"/>
  </r>
  <r>
    <x v="5"/>
    <x v="22"/>
    <x v="202"/>
    <x v="163"/>
    <n v="0"/>
    <n v="117"/>
    <n v="7158"/>
    <x v="189"/>
    <x v="206"/>
    <n v="0"/>
    <d v="2018-01-01T00:00:00"/>
    <x v="212"/>
  </r>
  <r>
    <x v="5"/>
    <x v="23"/>
    <x v="203"/>
    <x v="164"/>
    <n v="0"/>
    <n v="0"/>
    <n v="13449"/>
    <x v="190"/>
    <x v="207"/>
    <n v="0"/>
    <d v="2018-01-01T00:00:00"/>
    <x v="213"/>
  </r>
  <r>
    <x v="5"/>
    <x v="24"/>
    <x v="204"/>
    <x v="165"/>
    <n v="0"/>
    <n v="19"/>
    <n v="917"/>
    <x v="191"/>
    <x v="208"/>
    <n v="0"/>
    <d v="2018-01-01T00:00:00"/>
    <x v="214"/>
  </r>
  <r>
    <x v="5"/>
    <x v="25"/>
    <x v="205"/>
    <x v="166"/>
    <n v="0"/>
    <n v="117"/>
    <n v="5760"/>
    <x v="192"/>
    <x v="209"/>
    <n v="0"/>
    <d v="2018-01-01T00:00:00"/>
    <x v="215"/>
  </r>
  <r>
    <x v="5"/>
    <x v="26"/>
    <x v="206"/>
    <x v="167"/>
    <n v="0"/>
    <n v="13"/>
    <n v="2271"/>
    <x v="26"/>
    <x v="210"/>
    <n v="0"/>
    <d v="2018-01-01T00:00:00"/>
    <x v="216"/>
  </r>
  <r>
    <x v="5"/>
    <x v="27"/>
    <x v="207"/>
    <x v="168"/>
    <n v="0"/>
    <n v="369"/>
    <n v="6276"/>
    <x v="193"/>
    <x v="211"/>
    <n v="0"/>
    <d v="2018-01-01T00:00:00"/>
    <x v="217"/>
  </r>
  <r>
    <x v="5"/>
    <x v="28"/>
    <x v="208"/>
    <x v="169"/>
    <n v="0"/>
    <n v="72"/>
    <n v="4193"/>
    <x v="194"/>
    <x v="212"/>
    <n v="0"/>
    <d v="2018-01-01T00:00:00"/>
    <x v="218"/>
  </r>
  <r>
    <x v="5"/>
    <x v="29"/>
    <x v="209"/>
    <x v="170"/>
    <n v="0"/>
    <n v="92"/>
    <n v="14637"/>
    <x v="195"/>
    <x v="213"/>
    <n v="0"/>
    <d v="2018-01-01T00:00:00"/>
    <x v="219"/>
  </r>
  <r>
    <x v="5"/>
    <x v="30"/>
    <x v="210"/>
    <x v="171"/>
    <n v="0"/>
    <n v="439"/>
    <n v="11412"/>
    <x v="196"/>
    <x v="214"/>
    <n v="0"/>
    <d v="2018-01-01T00:00:00"/>
    <x v="220"/>
  </r>
  <r>
    <x v="5"/>
    <x v="45"/>
    <x v="211"/>
    <x v="172"/>
    <n v="0"/>
    <n v="3649"/>
    <n v="9607"/>
    <x v="197"/>
    <x v="215"/>
    <n v="0"/>
    <d v="2018-01-01T00:00:00"/>
    <x v="221"/>
  </r>
  <r>
    <x v="5"/>
    <x v="46"/>
    <x v="212"/>
    <x v="173"/>
    <n v="0"/>
    <n v="9949"/>
    <n v="6854"/>
    <x v="198"/>
    <x v="216"/>
    <n v="0"/>
    <d v="2018-01-01T00:00:00"/>
    <x v="222"/>
  </r>
  <r>
    <x v="5"/>
    <x v="47"/>
    <x v="213"/>
    <x v="174"/>
    <n v="0"/>
    <n v="33"/>
    <n v="11383"/>
    <x v="199"/>
    <x v="217"/>
    <n v="0"/>
    <d v="2018-01-01T00:00:00"/>
    <x v="223"/>
  </r>
  <r>
    <x v="5"/>
    <x v="48"/>
    <x v="214"/>
    <x v="175"/>
    <n v="0"/>
    <n v="1863"/>
    <n v="14215"/>
    <x v="200"/>
    <x v="218"/>
    <n v="0"/>
    <d v="2018-01-01T00:00:00"/>
    <x v="224"/>
  </r>
  <r>
    <x v="5"/>
    <x v="35"/>
    <x v="215"/>
    <x v="35"/>
    <n v="0"/>
    <n v="95"/>
    <n v="0"/>
    <x v="35"/>
    <x v="219"/>
    <n v="0"/>
    <d v="2018-01-01T00:00:00"/>
    <x v="225"/>
  </r>
  <r>
    <x v="5"/>
    <x v="44"/>
    <x v="36"/>
    <x v="35"/>
    <n v="0"/>
    <n v="0"/>
    <n v="4142"/>
    <x v="35"/>
    <x v="37"/>
    <n v="54128"/>
    <d v="2018-01-01T00:00:00"/>
    <x v="226"/>
  </r>
  <r>
    <x v="5"/>
    <x v="37"/>
    <x v="36"/>
    <x v="35"/>
    <n v="70174"/>
    <n v="0"/>
    <n v="0"/>
    <x v="35"/>
    <x v="220"/>
    <n v="21052"/>
    <d v="2018-01-01T00:00:00"/>
    <x v="227"/>
  </r>
  <r>
    <x v="6"/>
    <x v="0"/>
    <x v="216"/>
    <x v="176"/>
    <n v="0"/>
    <n v="11"/>
    <n v="0"/>
    <x v="201"/>
    <x v="221"/>
    <n v="0"/>
    <d v="2019-01-01T00:00:00"/>
    <x v="228"/>
  </r>
  <r>
    <x v="6"/>
    <x v="39"/>
    <x v="217"/>
    <x v="177"/>
    <n v="0"/>
    <n v="74"/>
    <n v="0"/>
    <x v="202"/>
    <x v="222"/>
    <n v="0"/>
    <d v="2019-01-01T00:00:00"/>
    <x v="229"/>
  </r>
  <r>
    <x v="6"/>
    <x v="2"/>
    <x v="218"/>
    <x v="178"/>
    <n v="0"/>
    <n v="7"/>
    <n v="1779"/>
    <x v="203"/>
    <x v="223"/>
    <n v="0"/>
    <d v="2019-01-01T00:00:00"/>
    <x v="230"/>
  </r>
  <r>
    <x v="6"/>
    <x v="3"/>
    <x v="219"/>
    <x v="179"/>
    <n v="0"/>
    <n v="46"/>
    <n v="7785"/>
    <x v="204"/>
    <x v="224"/>
    <n v="0"/>
    <d v="2019-01-01T00:00:00"/>
    <x v="231"/>
  </r>
  <r>
    <x v="6"/>
    <x v="4"/>
    <x v="220"/>
    <x v="180"/>
    <n v="0"/>
    <n v="28"/>
    <n v="40751"/>
    <x v="205"/>
    <x v="225"/>
    <n v="0"/>
    <d v="2019-01-01T00:00:00"/>
    <x v="232"/>
  </r>
  <r>
    <x v="6"/>
    <x v="5"/>
    <x v="221"/>
    <x v="181"/>
    <n v="0"/>
    <n v="47"/>
    <n v="10458"/>
    <x v="206"/>
    <x v="226"/>
    <n v="0"/>
    <d v="2019-01-01T00:00:00"/>
    <x v="233"/>
  </r>
  <r>
    <x v="6"/>
    <x v="6"/>
    <x v="222"/>
    <x v="182"/>
    <n v="0"/>
    <n v="50"/>
    <n v="1369"/>
    <x v="207"/>
    <x v="227"/>
    <n v="0"/>
    <d v="2019-01-01T00:00:00"/>
    <x v="234"/>
  </r>
  <r>
    <x v="6"/>
    <x v="7"/>
    <x v="223"/>
    <x v="183"/>
    <n v="0"/>
    <n v="188"/>
    <n v="8607"/>
    <x v="208"/>
    <x v="228"/>
    <n v="0"/>
    <d v="2019-01-01T00:00:00"/>
    <x v="235"/>
  </r>
  <r>
    <x v="6"/>
    <x v="8"/>
    <x v="224"/>
    <x v="184"/>
    <n v="0"/>
    <n v="73"/>
    <n v="22368"/>
    <x v="209"/>
    <x v="229"/>
    <n v="0"/>
    <d v="2019-01-01T00:00:00"/>
    <x v="236"/>
  </r>
  <r>
    <x v="6"/>
    <x v="9"/>
    <x v="225"/>
    <x v="185"/>
    <n v="0"/>
    <n v="119"/>
    <n v="295"/>
    <x v="210"/>
    <x v="230"/>
    <n v="0"/>
    <d v="2019-01-01T00:00:00"/>
    <x v="237"/>
  </r>
  <r>
    <x v="6"/>
    <x v="10"/>
    <x v="226"/>
    <x v="186"/>
    <n v="0"/>
    <n v="77"/>
    <n v="2070"/>
    <x v="211"/>
    <x v="231"/>
    <n v="0"/>
    <d v="2019-01-01T00:00:00"/>
    <x v="238"/>
  </r>
  <r>
    <x v="6"/>
    <x v="11"/>
    <x v="227"/>
    <x v="187"/>
    <n v="0"/>
    <n v="98"/>
    <n v="1848"/>
    <x v="212"/>
    <x v="232"/>
    <n v="0"/>
    <d v="2019-01-01T00:00:00"/>
    <x v="239"/>
  </r>
  <r>
    <x v="6"/>
    <x v="12"/>
    <x v="228"/>
    <x v="188"/>
    <n v="0"/>
    <n v="226"/>
    <n v="7314"/>
    <x v="213"/>
    <x v="233"/>
    <n v="0"/>
    <d v="2019-01-01T00:00:00"/>
    <x v="240"/>
  </r>
  <r>
    <x v="6"/>
    <x v="13"/>
    <x v="229"/>
    <x v="189"/>
    <n v="0"/>
    <n v="2782"/>
    <n v="7155"/>
    <x v="214"/>
    <x v="234"/>
    <n v="0"/>
    <d v="2019-01-01T00:00:00"/>
    <x v="241"/>
  </r>
  <r>
    <x v="6"/>
    <x v="14"/>
    <x v="230"/>
    <x v="190"/>
    <n v="0"/>
    <n v="3"/>
    <n v="4667"/>
    <x v="215"/>
    <x v="235"/>
    <n v="0"/>
    <d v="2019-01-01T00:00:00"/>
    <x v="242"/>
  </r>
  <r>
    <x v="6"/>
    <x v="15"/>
    <x v="231"/>
    <x v="191"/>
    <n v="0"/>
    <n v="72"/>
    <n v="1349"/>
    <x v="216"/>
    <x v="236"/>
    <n v="0"/>
    <d v="2019-01-01T00:00:00"/>
    <x v="243"/>
  </r>
  <r>
    <x v="6"/>
    <x v="16"/>
    <x v="232"/>
    <x v="192"/>
    <n v="0"/>
    <n v="217"/>
    <n v="2491"/>
    <x v="217"/>
    <x v="237"/>
    <n v="0"/>
    <d v="2019-01-01T00:00:00"/>
    <x v="244"/>
  </r>
  <r>
    <x v="6"/>
    <x v="17"/>
    <x v="233"/>
    <x v="193"/>
    <n v="0"/>
    <n v="1797"/>
    <n v="2517"/>
    <x v="218"/>
    <x v="238"/>
    <n v="0"/>
    <d v="2019-01-01T00:00:00"/>
    <x v="245"/>
  </r>
  <r>
    <x v="6"/>
    <x v="18"/>
    <x v="234"/>
    <x v="194"/>
    <n v="0"/>
    <n v="56"/>
    <n v="41550"/>
    <x v="219"/>
    <x v="239"/>
    <n v="0"/>
    <d v="2019-01-01T00:00:00"/>
    <x v="246"/>
  </r>
  <r>
    <x v="6"/>
    <x v="19"/>
    <x v="235"/>
    <x v="195"/>
    <n v="0"/>
    <n v="559"/>
    <n v="6826"/>
    <x v="220"/>
    <x v="240"/>
    <n v="0"/>
    <d v="2019-01-01T00:00:00"/>
    <x v="247"/>
  </r>
  <r>
    <x v="6"/>
    <x v="20"/>
    <x v="236"/>
    <x v="196"/>
    <n v="0"/>
    <n v="6"/>
    <n v="3525"/>
    <x v="221"/>
    <x v="241"/>
    <n v="0"/>
    <d v="2019-01-01T00:00:00"/>
    <x v="248"/>
  </r>
  <r>
    <x v="6"/>
    <x v="21"/>
    <x v="237"/>
    <x v="197"/>
    <n v="0"/>
    <n v="0"/>
    <n v="18869"/>
    <x v="222"/>
    <x v="242"/>
    <n v="0"/>
    <d v="2019-01-01T00:00:00"/>
    <x v="249"/>
  </r>
  <r>
    <x v="6"/>
    <x v="22"/>
    <x v="238"/>
    <x v="198"/>
    <n v="0"/>
    <n v="125"/>
    <n v="10735"/>
    <x v="223"/>
    <x v="243"/>
    <n v="0"/>
    <d v="2019-01-01T00:00:00"/>
    <x v="250"/>
  </r>
  <r>
    <x v="6"/>
    <x v="23"/>
    <x v="239"/>
    <x v="199"/>
    <n v="0"/>
    <n v="0"/>
    <n v="5741"/>
    <x v="224"/>
    <x v="244"/>
    <n v="0"/>
    <d v="2019-01-01T00:00:00"/>
    <x v="251"/>
  </r>
  <r>
    <x v="6"/>
    <x v="24"/>
    <x v="240"/>
    <x v="200"/>
    <n v="0"/>
    <n v="24"/>
    <n v="941"/>
    <x v="225"/>
    <x v="245"/>
    <n v="0"/>
    <d v="2019-01-01T00:00:00"/>
    <x v="252"/>
  </r>
  <r>
    <x v="6"/>
    <x v="25"/>
    <x v="241"/>
    <x v="201"/>
    <n v="0"/>
    <n v="94"/>
    <n v="6420"/>
    <x v="226"/>
    <x v="246"/>
    <n v="0"/>
    <d v="2019-01-01T00:00:00"/>
    <x v="253"/>
  </r>
  <r>
    <x v="6"/>
    <x v="26"/>
    <x v="242"/>
    <x v="202"/>
    <n v="0"/>
    <n v="6"/>
    <n v="2336"/>
    <x v="26"/>
    <x v="247"/>
    <n v="0"/>
    <d v="2019-01-01T00:00:00"/>
    <x v="254"/>
  </r>
  <r>
    <x v="6"/>
    <x v="27"/>
    <x v="243"/>
    <x v="203"/>
    <n v="0"/>
    <n v="114"/>
    <n v="1328"/>
    <x v="227"/>
    <x v="248"/>
    <n v="0"/>
    <d v="2019-01-01T00:00:00"/>
    <x v="255"/>
  </r>
  <r>
    <x v="6"/>
    <x v="28"/>
    <x v="244"/>
    <x v="204"/>
    <n v="0"/>
    <n v="70"/>
    <n v="3376"/>
    <x v="228"/>
    <x v="249"/>
    <n v="0"/>
    <d v="2019-01-01T00:00:00"/>
    <x v="256"/>
  </r>
  <r>
    <x v="6"/>
    <x v="29"/>
    <x v="245"/>
    <x v="205"/>
    <n v="0"/>
    <n v="97"/>
    <n v="10086"/>
    <x v="229"/>
    <x v="250"/>
    <n v="0"/>
    <d v="2019-01-01T00:00:00"/>
    <x v="257"/>
  </r>
  <r>
    <x v="6"/>
    <x v="30"/>
    <x v="246"/>
    <x v="206"/>
    <n v="0"/>
    <n v="439"/>
    <n v="32044"/>
    <x v="230"/>
    <x v="251"/>
    <n v="0"/>
    <d v="2019-01-01T00:00:00"/>
    <x v="258"/>
  </r>
  <r>
    <x v="6"/>
    <x v="45"/>
    <x v="247"/>
    <x v="207"/>
    <n v="0"/>
    <n v="3751"/>
    <n v="2787"/>
    <x v="231"/>
    <x v="252"/>
    <n v="0"/>
    <d v="2019-01-01T00:00:00"/>
    <x v="259"/>
  </r>
  <r>
    <x v="6"/>
    <x v="46"/>
    <x v="248"/>
    <x v="208"/>
    <n v="0"/>
    <n v="9116"/>
    <n v="8594"/>
    <x v="232"/>
    <x v="253"/>
    <n v="0"/>
    <d v="2019-01-01T00:00:00"/>
    <x v="260"/>
  </r>
  <r>
    <x v="6"/>
    <x v="47"/>
    <x v="249"/>
    <x v="209"/>
    <n v="0"/>
    <n v="30"/>
    <n v="9439"/>
    <x v="233"/>
    <x v="254"/>
    <n v="0"/>
    <d v="2019-01-01T00:00:00"/>
    <x v="261"/>
  </r>
  <r>
    <x v="6"/>
    <x v="48"/>
    <x v="250"/>
    <x v="210"/>
    <n v="0"/>
    <n v="1692"/>
    <n v="15181"/>
    <x v="234"/>
    <x v="255"/>
    <n v="0"/>
    <d v="2019-01-01T00:00:00"/>
    <x v="262"/>
  </r>
  <r>
    <x v="6"/>
    <x v="35"/>
    <x v="251"/>
    <x v="35"/>
    <n v="0"/>
    <n v="0"/>
    <n v="0"/>
    <x v="35"/>
    <x v="101"/>
    <n v="0"/>
    <d v="2019-01-01T00:00:00"/>
    <x v="263"/>
  </r>
  <r>
    <x v="6"/>
    <x v="44"/>
    <x v="36"/>
    <x v="35"/>
    <n v="0"/>
    <n v="0"/>
    <n v="0"/>
    <x v="35"/>
    <x v="256"/>
    <n v="56176"/>
    <d v="2019-01-01T00:00:00"/>
    <x v="264"/>
  </r>
  <r>
    <x v="6"/>
    <x v="37"/>
    <x v="36"/>
    <x v="35"/>
    <n v="91806"/>
    <n v="0"/>
    <n v="0"/>
    <x v="35"/>
    <x v="37"/>
    <n v="25685"/>
    <d v="2019-01-01T00:00:00"/>
    <x v="265"/>
  </r>
  <r>
    <x v="7"/>
    <x v="0"/>
    <x v="252"/>
    <x v="211"/>
    <n v="0"/>
    <n v="121"/>
    <n v="0"/>
    <x v="235"/>
    <x v="257"/>
    <n v="0"/>
    <d v="2020-01-01T00:00:00"/>
    <x v="266"/>
  </r>
  <r>
    <x v="7"/>
    <x v="39"/>
    <x v="253"/>
    <x v="212"/>
    <n v="0"/>
    <n v="135"/>
    <n v="417"/>
    <x v="236"/>
    <x v="258"/>
    <n v="0"/>
    <d v="2020-01-01T00:00:00"/>
    <x v="267"/>
  </r>
  <r>
    <x v="7"/>
    <x v="2"/>
    <x v="254"/>
    <x v="213"/>
    <n v="0"/>
    <n v="0"/>
    <n v="48"/>
    <x v="237"/>
    <x v="259"/>
    <n v="0"/>
    <d v="2020-01-01T00:00:00"/>
    <x v="268"/>
  </r>
  <r>
    <x v="7"/>
    <x v="3"/>
    <x v="255"/>
    <x v="214"/>
    <n v="0"/>
    <n v="12"/>
    <n v="3286"/>
    <x v="238"/>
    <x v="260"/>
    <n v="0"/>
    <d v="2020-01-01T00:00:00"/>
    <x v="269"/>
  </r>
  <r>
    <x v="7"/>
    <x v="4"/>
    <x v="256"/>
    <x v="215"/>
    <n v="0"/>
    <n v="6"/>
    <n v="1855"/>
    <x v="239"/>
    <x v="261"/>
    <n v="0"/>
    <d v="2020-01-01T00:00:00"/>
    <x v="270"/>
  </r>
  <r>
    <x v="7"/>
    <x v="5"/>
    <x v="36"/>
    <x v="216"/>
    <n v="0"/>
    <n v="76"/>
    <n v="0"/>
    <x v="240"/>
    <x v="37"/>
    <n v="0"/>
    <d v="2020-01-01T00:00:00"/>
    <x v="271"/>
  </r>
  <r>
    <x v="7"/>
    <x v="6"/>
    <x v="257"/>
    <x v="217"/>
    <n v="0"/>
    <n v="19"/>
    <n v="198"/>
    <x v="241"/>
    <x v="262"/>
    <n v="0"/>
    <d v="2020-01-01T00:00:00"/>
    <x v="272"/>
  </r>
  <r>
    <x v="7"/>
    <x v="7"/>
    <x v="258"/>
    <x v="218"/>
    <n v="0"/>
    <n v="143"/>
    <n v="908"/>
    <x v="242"/>
    <x v="263"/>
    <n v="0"/>
    <d v="2020-01-01T00:00:00"/>
    <x v="273"/>
  </r>
  <r>
    <x v="7"/>
    <x v="8"/>
    <x v="259"/>
    <x v="219"/>
    <n v="0"/>
    <n v="38"/>
    <n v="1248"/>
    <x v="243"/>
    <x v="264"/>
    <n v="0"/>
    <d v="2020-01-01T00:00:00"/>
    <x v="274"/>
  </r>
  <r>
    <x v="7"/>
    <x v="9"/>
    <x v="260"/>
    <x v="220"/>
    <n v="0"/>
    <n v="142"/>
    <n v="840"/>
    <x v="244"/>
    <x v="265"/>
    <n v="0"/>
    <d v="2020-01-01T00:00:00"/>
    <x v="275"/>
  </r>
  <r>
    <x v="7"/>
    <x v="10"/>
    <x v="261"/>
    <x v="221"/>
    <n v="0"/>
    <n v="8"/>
    <n v="120"/>
    <x v="245"/>
    <x v="37"/>
    <n v="0"/>
    <d v="2020-01-01T00:00:00"/>
    <x v="276"/>
  </r>
  <r>
    <x v="7"/>
    <x v="11"/>
    <x v="262"/>
    <x v="222"/>
    <n v="0"/>
    <n v="152"/>
    <n v="627"/>
    <x v="246"/>
    <x v="266"/>
    <n v="0"/>
    <d v="2020-01-01T00:00:00"/>
    <x v="277"/>
  </r>
  <r>
    <x v="7"/>
    <x v="12"/>
    <x v="263"/>
    <x v="223"/>
    <n v="0"/>
    <n v="151"/>
    <n v="272"/>
    <x v="247"/>
    <x v="267"/>
    <n v="0"/>
    <d v="2020-01-01T00:00:00"/>
    <x v="278"/>
  </r>
  <r>
    <x v="7"/>
    <x v="13"/>
    <x v="264"/>
    <x v="224"/>
    <n v="0"/>
    <n v="6927"/>
    <n v="870"/>
    <x v="248"/>
    <x v="268"/>
    <n v="0"/>
    <d v="2020-01-01T00:00:00"/>
    <x v="279"/>
  </r>
  <r>
    <x v="7"/>
    <x v="14"/>
    <x v="265"/>
    <x v="225"/>
    <n v="0"/>
    <n v="0"/>
    <n v="590"/>
    <x v="249"/>
    <x v="269"/>
    <n v="0"/>
    <d v="2020-01-01T00:00:00"/>
    <x v="280"/>
  </r>
  <r>
    <x v="7"/>
    <x v="15"/>
    <x v="266"/>
    <x v="226"/>
    <n v="0"/>
    <n v="102"/>
    <n v="161"/>
    <x v="250"/>
    <x v="270"/>
    <n v="0"/>
    <d v="2020-01-01T00:00:00"/>
    <x v="281"/>
  </r>
  <r>
    <x v="7"/>
    <x v="16"/>
    <x v="267"/>
    <x v="227"/>
    <n v="0"/>
    <n v="245"/>
    <n v="1244"/>
    <x v="251"/>
    <x v="271"/>
    <n v="0"/>
    <d v="2020-01-01T00:00:00"/>
    <x v="282"/>
  </r>
  <r>
    <x v="7"/>
    <x v="17"/>
    <x v="268"/>
    <x v="228"/>
    <n v="0"/>
    <n v="1673"/>
    <n v="444"/>
    <x v="252"/>
    <x v="272"/>
    <n v="0"/>
    <d v="2020-01-01T00:00:00"/>
    <x v="283"/>
  </r>
  <r>
    <x v="7"/>
    <x v="18"/>
    <x v="269"/>
    <x v="229"/>
    <n v="0"/>
    <n v="19"/>
    <n v="0"/>
    <x v="253"/>
    <x v="273"/>
    <n v="0"/>
    <d v="2020-01-01T00:00:00"/>
    <x v="284"/>
  </r>
  <r>
    <x v="7"/>
    <x v="19"/>
    <x v="270"/>
    <x v="230"/>
    <n v="0"/>
    <n v="472"/>
    <n v="4198"/>
    <x v="254"/>
    <x v="274"/>
    <n v="0"/>
    <d v="2020-01-01T00:00:00"/>
    <x v="285"/>
  </r>
  <r>
    <x v="7"/>
    <x v="20"/>
    <x v="271"/>
    <x v="231"/>
    <n v="0"/>
    <n v="0"/>
    <n v="369"/>
    <x v="255"/>
    <x v="275"/>
    <n v="0"/>
    <d v="2020-01-01T00:00:00"/>
    <x v="286"/>
  </r>
  <r>
    <x v="7"/>
    <x v="21"/>
    <x v="272"/>
    <x v="232"/>
    <n v="0"/>
    <n v="0"/>
    <n v="1830"/>
    <x v="256"/>
    <x v="276"/>
    <n v="0"/>
    <d v="2020-01-01T00:00:00"/>
    <x v="287"/>
  </r>
  <r>
    <x v="7"/>
    <x v="22"/>
    <x v="273"/>
    <x v="233"/>
    <n v="0"/>
    <n v="223"/>
    <n v="4014"/>
    <x v="257"/>
    <x v="277"/>
    <n v="0"/>
    <d v="2020-01-01T00:00:00"/>
    <x v="288"/>
  </r>
  <r>
    <x v="7"/>
    <x v="23"/>
    <x v="274"/>
    <x v="234"/>
    <n v="0"/>
    <n v="0"/>
    <n v="374"/>
    <x v="258"/>
    <x v="278"/>
    <n v="0"/>
    <d v="2020-01-01T00:00:00"/>
    <x v="289"/>
  </r>
  <r>
    <x v="7"/>
    <x v="24"/>
    <x v="275"/>
    <x v="235"/>
    <n v="0"/>
    <n v="0"/>
    <n v="0"/>
    <x v="259"/>
    <x v="279"/>
    <n v="0"/>
    <d v="2020-01-01T00:00:00"/>
    <x v="290"/>
  </r>
  <r>
    <x v="7"/>
    <x v="25"/>
    <x v="276"/>
    <x v="236"/>
    <n v="0"/>
    <n v="182"/>
    <n v="400"/>
    <x v="260"/>
    <x v="280"/>
    <n v="0"/>
    <d v="2020-01-01T00:00:00"/>
    <x v="291"/>
  </r>
  <r>
    <x v="7"/>
    <x v="26"/>
    <x v="277"/>
    <x v="237"/>
    <n v="0"/>
    <n v="0"/>
    <n v="0"/>
    <x v="261"/>
    <x v="281"/>
    <n v="0"/>
    <d v="2020-01-01T00:00:00"/>
    <x v="292"/>
  </r>
  <r>
    <x v="7"/>
    <x v="27"/>
    <x v="278"/>
    <x v="238"/>
    <n v="0"/>
    <n v="362"/>
    <n v="908"/>
    <x v="262"/>
    <x v="282"/>
    <n v="0"/>
    <d v="2020-01-01T00:00:00"/>
    <x v="293"/>
  </r>
  <r>
    <x v="7"/>
    <x v="28"/>
    <x v="279"/>
    <x v="239"/>
    <n v="0"/>
    <n v="124"/>
    <n v="336"/>
    <x v="263"/>
    <x v="283"/>
    <n v="0"/>
    <d v="2020-01-01T00:00:00"/>
    <x v="294"/>
  </r>
  <r>
    <x v="7"/>
    <x v="29"/>
    <x v="280"/>
    <x v="240"/>
    <n v="0"/>
    <n v="127"/>
    <n v="764"/>
    <x v="264"/>
    <x v="284"/>
    <n v="0"/>
    <d v="2020-01-01T00:00:00"/>
    <x v="295"/>
  </r>
  <r>
    <x v="7"/>
    <x v="30"/>
    <x v="281"/>
    <x v="241"/>
    <n v="0"/>
    <n v="440"/>
    <n v="700"/>
    <x v="265"/>
    <x v="285"/>
    <n v="0"/>
    <d v="2020-01-01T00:00:00"/>
    <x v="296"/>
  </r>
  <r>
    <x v="7"/>
    <x v="45"/>
    <x v="282"/>
    <x v="242"/>
    <n v="0"/>
    <n v="3725"/>
    <n v="1457"/>
    <x v="266"/>
    <x v="286"/>
    <n v="0"/>
    <d v="2020-01-01T00:00:00"/>
    <x v="297"/>
  </r>
  <r>
    <x v="7"/>
    <x v="46"/>
    <x v="283"/>
    <x v="243"/>
    <n v="0"/>
    <n v="8813"/>
    <n v="490"/>
    <x v="267"/>
    <x v="287"/>
    <n v="0"/>
    <d v="2020-01-01T00:00:00"/>
    <x v="298"/>
  </r>
  <r>
    <x v="7"/>
    <x v="47"/>
    <x v="284"/>
    <x v="244"/>
    <n v="0"/>
    <n v="20"/>
    <n v="815"/>
    <x v="268"/>
    <x v="288"/>
    <n v="0"/>
    <d v="2020-01-01T00:00:00"/>
    <x v="299"/>
  </r>
  <r>
    <x v="7"/>
    <x v="48"/>
    <x v="285"/>
    <x v="245"/>
    <n v="0"/>
    <n v="1905"/>
    <n v="951"/>
    <x v="269"/>
    <x v="289"/>
    <n v="0"/>
    <d v="2020-01-01T00:00:00"/>
    <x v="300"/>
  </r>
  <r>
    <x v="7"/>
    <x v="35"/>
    <x v="286"/>
    <x v="35"/>
    <n v="0"/>
    <n v="45"/>
    <n v="0"/>
    <x v="35"/>
    <x v="37"/>
    <n v="0"/>
    <d v="2020-01-01T00:00:00"/>
    <x v="301"/>
  </r>
  <r>
    <x v="7"/>
    <x v="44"/>
    <x v="36"/>
    <x v="35"/>
    <n v="0"/>
    <n v="0"/>
    <n v="0"/>
    <x v="35"/>
    <x v="37"/>
    <n v="0"/>
    <d v="2020-01-01T00:00:00"/>
    <x v="302"/>
  </r>
  <r>
    <x v="7"/>
    <x v="37"/>
    <x v="36"/>
    <x v="35"/>
    <n v="11320"/>
    <n v="0"/>
    <n v="0"/>
    <x v="35"/>
    <x v="37"/>
    <n v="0"/>
    <d v="2020-01-01T00:00:00"/>
    <x v="303"/>
  </r>
  <r>
    <x v="8"/>
    <x v="0"/>
    <x v="287"/>
    <x v="246"/>
    <n v="0"/>
    <n v="16"/>
    <n v="1"/>
    <x v="270"/>
    <x v="37"/>
    <n v="0"/>
    <d v="2021-01-01T00:00:00"/>
    <x v="304"/>
  </r>
  <r>
    <x v="8"/>
    <x v="39"/>
    <x v="288"/>
    <x v="247"/>
    <n v="0"/>
    <n v="51"/>
    <n v="145"/>
    <x v="271"/>
    <x v="37"/>
    <n v="0"/>
    <d v="2021-01-01T00:00:00"/>
    <x v="305"/>
  </r>
  <r>
    <x v="8"/>
    <x v="2"/>
    <x v="289"/>
    <x v="248"/>
    <n v="12"/>
    <n v="1"/>
    <n v="23"/>
    <x v="35"/>
    <x v="290"/>
    <n v="0"/>
    <d v="2021-01-01T00:00:00"/>
    <x v="306"/>
  </r>
  <r>
    <x v="8"/>
    <x v="3"/>
    <x v="290"/>
    <x v="249"/>
    <n v="5"/>
    <n v="0"/>
    <n v="902"/>
    <x v="242"/>
    <x v="291"/>
    <n v="0"/>
    <d v="2021-01-01T00:00:00"/>
    <x v="307"/>
  </r>
  <r>
    <x v="8"/>
    <x v="6"/>
    <x v="291"/>
    <x v="250"/>
    <n v="0"/>
    <n v="12"/>
    <n v="1820"/>
    <x v="272"/>
    <x v="292"/>
    <n v="0"/>
    <d v="2021-01-01T00:00:00"/>
    <x v="308"/>
  </r>
  <r>
    <x v="8"/>
    <x v="7"/>
    <x v="292"/>
    <x v="251"/>
    <n v="0"/>
    <n v="0"/>
    <n v="1200"/>
    <x v="273"/>
    <x v="293"/>
    <n v="0"/>
    <d v="2021-01-01T00:00:00"/>
    <x v="309"/>
  </r>
  <r>
    <x v="8"/>
    <x v="4"/>
    <x v="293"/>
    <x v="252"/>
    <n v="0"/>
    <n v="74"/>
    <n v="301"/>
    <x v="274"/>
    <x v="294"/>
    <n v="0"/>
    <d v="2021-01-01T00:00:00"/>
    <x v="310"/>
  </r>
  <r>
    <x v="8"/>
    <x v="5"/>
    <x v="294"/>
    <x v="253"/>
    <n v="0"/>
    <n v="105"/>
    <n v="1778"/>
    <x v="275"/>
    <x v="295"/>
    <n v="0"/>
    <d v="2021-01-01T00:00:00"/>
    <x v="311"/>
  </r>
  <r>
    <x v="8"/>
    <x v="8"/>
    <x v="295"/>
    <x v="254"/>
    <n v="0"/>
    <n v="6"/>
    <n v="216"/>
    <x v="276"/>
    <x v="296"/>
    <n v="0"/>
    <d v="2021-01-01T00:00:00"/>
    <x v="312"/>
  </r>
  <r>
    <x v="8"/>
    <x v="13"/>
    <x v="296"/>
    <x v="255"/>
    <n v="47"/>
    <n v="42"/>
    <n v="517"/>
    <x v="277"/>
    <x v="297"/>
    <n v="0"/>
    <d v="2021-01-01T00:00:00"/>
    <x v="313"/>
  </r>
  <r>
    <x v="8"/>
    <x v="9"/>
    <x v="297"/>
    <x v="256"/>
    <n v="19"/>
    <n v="51"/>
    <n v="605"/>
    <x v="278"/>
    <x v="298"/>
    <n v="0"/>
    <d v="2021-01-01T00:00:00"/>
    <x v="314"/>
  </r>
  <r>
    <x v="8"/>
    <x v="10"/>
    <x v="36"/>
    <x v="257"/>
    <n v="0"/>
    <n v="79"/>
    <n v="20"/>
    <x v="279"/>
    <x v="37"/>
    <n v="0"/>
    <d v="2021-01-01T00:00:00"/>
    <x v="315"/>
  </r>
  <r>
    <x v="8"/>
    <x v="11"/>
    <x v="298"/>
    <x v="258"/>
    <n v="3"/>
    <n v="285"/>
    <n v="955"/>
    <x v="280"/>
    <x v="290"/>
    <n v="0"/>
    <d v="2021-01-01T00:00:00"/>
    <x v="316"/>
  </r>
  <r>
    <x v="8"/>
    <x v="12"/>
    <x v="299"/>
    <x v="259"/>
    <n v="0"/>
    <n v="3750"/>
    <n v="365"/>
    <x v="281"/>
    <x v="299"/>
    <n v="0"/>
    <d v="2021-01-01T00:00:00"/>
    <x v="317"/>
  </r>
  <r>
    <x v="8"/>
    <x v="14"/>
    <x v="300"/>
    <x v="260"/>
    <n v="0"/>
    <n v="58"/>
    <n v="755"/>
    <x v="282"/>
    <x v="290"/>
    <n v="0"/>
    <d v="2021-01-01T00:00:00"/>
    <x v="318"/>
  </r>
  <r>
    <x v="8"/>
    <x v="15"/>
    <x v="301"/>
    <x v="261"/>
    <n v="0"/>
    <n v="108"/>
    <n v="1192"/>
    <x v="283"/>
    <x v="290"/>
    <n v="0"/>
    <d v="2021-01-01T00:00:00"/>
    <x v="319"/>
  </r>
  <r>
    <x v="8"/>
    <x v="16"/>
    <x v="302"/>
    <x v="253"/>
    <n v="68"/>
    <n v="2"/>
    <n v="129"/>
    <x v="35"/>
    <x v="300"/>
    <n v="0"/>
    <d v="2021-01-01T00:00:00"/>
    <x v="320"/>
  </r>
  <r>
    <x v="8"/>
    <x v="17"/>
    <x v="303"/>
    <x v="262"/>
    <n v="287"/>
    <n v="1409"/>
    <n v="171"/>
    <x v="284"/>
    <x v="301"/>
    <n v="0"/>
    <d v="2021-01-01T00:00:00"/>
    <x v="321"/>
  </r>
  <r>
    <x v="8"/>
    <x v="18"/>
    <x v="304"/>
    <x v="263"/>
    <n v="0"/>
    <n v="40"/>
    <n v="85"/>
    <x v="285"/>
    <x v="302"/>
    <n v="0"/>
    <d v="2021-01-01T00:00:00"/>
    <x v="322"/>
  </r>
  <r>
    <x v="8"/>
    <x v="19"/>
    <x v="305"/>
    <x v="264"/>
    <n v="2"/>
    <n v="0"/>
    <n v="701"/>
    <x v="286"/>
    <x v="295"/>
    <n v="0"/>
    <d v="2021-01-01T00:00:00"/>
    <x v="323"/>
  </r>
  <r>
    <x v="8"/>
    <x v="20"/>
    <x v="306"/>
    <x v="265"/>
    <n v="0"/>
    <n v="0"/>
    <n v="216"/>
    <x v="287"/>
    <x v="303"/>
    <n v="0"/>
    <d v="2021-01-01T00:00:00"/>
    <x v="324"/>
  </r>
  <r>
    <x v="8"/>
    <x v="21"/>
    <x v="307"/>
    <x v="266"/>
    <n v="157"/>
    <n v="69"/>
    <n v="541"/>
    <x v="288"/>
    <x v="304"/>
    <n v="0"/>
    <d v="2021-01-01T00:00:00"/>
    <x v="325"/>
  </r>
  <r>
    <x v="8"/>
    <x v="22"/>
    <x v="308"/>
    <x v="267"/>
    <n v="5"/>
    <n v="227"/>
    <n v="195"/>
    <x v="289"/>
    <x v="290"/>
    <n v="0"/>
    <d v="2021-01-01T00:00:00"/>
    <x v="326"/>
  </r>
  <r>
    <x v="8"/>
    <x v="23"/>
    <x v="309"/>
    <x v="268"/>
    <n v="8"/>
    <n v="0"/>
    <n v="941"/>
    <x v="290"/>
    <x v="305"/>
    <n v="0"/>
    <d v="2021-01-01T00:00:00"/>
    <x v="327"/>
  </r>
  <r>
    <x v="8"/>
    <x v="24"/>
    <x v="36"/>
    <x v="35"/>
    <n v="0"/>
    <n v="0"/>
    <n v="0"/>
    <x v="35"/>
    <x v="37"/>
    <n v="0"/>
    <d v="2021-01-01T00:00:00"/>
    <x v="302"/>
  </r>
  <r>
    <x v="8"/>
    <x v="25"/>
    <x v="310"/>
    <x v="269"/>
    <n v="198"/>
    <n v="21"/>
    <n v="610"/>
    <x v="291"/>
    <x v="306"/>
    <n v="0"/>
    <d v="2021-01-01T00:00:00"/>
    <x v="328"/>
  </r>
  <r>
    <x v="8"/>
    <x v="26"/>
    <x v="311"/>
    <x v="248"/>
    <n v="0"/>
    <n v="2"/>
    <n v="0"/>
    <x v="35"/>
    <x v="37"/>
    <n v="0"/>
    <d v="2021-01-01T00:00:00"/>
    <x v="329"/>
  </r>
  <r>
    <x v="8"/>
    <x v="27"/>
    <x v="312"/>
    <x v="270"/>
    <n v="0"/>
    <n v="14"/>
    <n v="537"/>
    <x v="292"/>
    <x v="307"/>
    <n v="0"/>
    <d v="2021-01-01T00:00:00"/>
    <x v="330"/>
  </r>
  <r>
    <x v="8"/>
    <x v="28"/>
    <x v="313"/>
    <x v="271"/>
    <n v="63"/>
    <n v="143"/>
    <n v="263"/>
    <x v="293"/>
    <x v="308"/>
    <n v="0"/>
    <d v="2021-01-01T00:00:00"/>
    <x v="331"/>
  </r>
  <r>
    <x v="8"/>
    <x v="29"/>
    <x v="314"/>
    <x v="272"/>
    <n v="34"/>
    <n v="160"/>
    <n v="1401"/>
    <x v="294"/>
    <x v="308"/>
    <n v="0"/>
    <d v="2021-01-01T00:00:00"/>
    <x v="332"/>
  </r>
  <r>
    <x v="8"/>
    <x v="30"/>
    <x v="315"/>
    <x v="273"/>
    <n v="4"/>
    <n v="37"/>
    <n v="741"/>
    <x v="295"/>
    <x v="309"/>
    <n v="0"/>
    <d v="2021-01-01T00:00:00"/>
    <x v="333"/>
  </r>
  <r>
    <x v="8"/>
    <x v="46"/>
    <x v="316"/>
    <x v="274"/>
    <n v="72"/>
    <n v="2489"/>
    <n v="0"/>
    <x v="35"/>
    <x v="37"/>
    <n v="0"/>
    <d v="2021-01-01T00:00:00"/>
    <x v="334"/>
  </r>
  <r>
    <x v="8"/>
    <x v="45"/>
    <x v="317"/>
    <x v="275"/>
    <n v="0"/>
    <n v="4670"/>
    <n v="651"/>
    <x v="296"/>
    <x v="310"/>
    <n v="0"/>
    <d v="2021-01-01T00:00:00"/>
    <x v="335"/>
  </r>
  <r>
    <x v="8"/>
    <x v="48"/>
    <x v="318"/>
    <x v="276"/>
    <n v="9"/>
    <n v="41"/>
    <n v="782"/>
    <x v="297"/>
    <x v="301"/>
    <n v="0"/>
    <d v="2021-01-01T00:00:00"/>
    <x v="336"/>
  </r>
  <r>
    <x v="8"/>
    <x v="47"/>
    <x v="319"/>
    <x v="277"/>
    <n v="8"/>
    <n v="1931"/>
    <n v="1060"/>
    <x v="298"/>
    <x v="311"/>
    <n v="0"/>
    <d v="2021-01-01T00:00:00"/>
    <x v="337"/>
  </r>
  <r>
    <x v="8"/>
    <x v="35"/>
    <x v="320"/>
    <x v="278"/>
    <n v="0"/>
    <n v="0"/>
    <n v="0"/>
    <x v="299"/>
    <x v="37"/>
    <n v="0"/>
    <d v="2021-01-01T00:00:00"/>
    <x v="338"/>
  </r>
  <r>
    <x v="8"/>
    <x v="44"/>
    <x v="36"/>
    <x v="35"/>
    <n v="0"/>
    <n v="0"/>
    <n v="0"/>
    <x v="35"/>
    <x v="37"/>
    <n v="0"/>
    <d v="2021-01-01T00:00:00"/>
    <x v="302"/>
  </r>
  <r>
    <x v="8"/>
    <x v="37"/>
    <x v="36"/>
    <x v="35"/>
    <n v="16560"/>
    <n v="0"/>
    <n v="0"/>
    <x v="35"/>
    <x v="37"/>
    <n v="0"/>
    <d v="2021-01-01T00:00:00"/>
    <x v="339"/>
  </r>
  <r>
    <x v="9"/>
    <x v="0"/>
    <x v="321"/>
    <x v="279"/>
    <n v="0"/>
    <n v="23"/>
    <n v="47"/>
    <x v="300"/>
    <x v="231"/>
    <n v="0"/>
    <d v="2022-01-01T00:00:00"/>
    <x v="340"/>
  </r>
  <r>
    <x v="9"/>
    <x v="39"/>
    <x v="310"/>
    <x v="280"/>
    <n v="0"/>
    <n v="7"/>
    <n v="200"/>
    <x v="301"/>
    <x v="312"/>
    <n v="0"/>
    <d v="2022-01-01T00:00:00"/>
    <x v="341"/>
  </r>
  <r>
    <x v="9"/>
    <x v="2"/>
    <x v="322"/>
    <x v="281"/>
    <n v="212"/>
    <n v="10"/>
    <n v="125"/>
    <x v="274"/>
    <x v="313"/>
    <n v="0"/>
    <d v="2022-01-01T00:00:00"/>
    <x v="342"/>
  </r>
  <r>
    <x v="9"/>
    <x v="3"/>
    <x v="323"/>
    <x v="282"/>
    <n v="9"/>
    <n v="0"/>
    <n v="713"/>
    <x v="302"/>
    <x v="314"/>
    <n v="0"/>
    <d v="2022-01-01T00:00:00"/>
    <x v="343"/>
  </r>
  <r>
    <x v="9"/>
    <x v="6"/>
    <x v="307"/>
    <x v="283"/>
    <n v="0"/>
    <n v="60"/>
    <n v="1802"/>
    <x v="303"/>
    <x v="315"/>
    <n v="0"/>
    <d v="2022-01-01T00:00:00"/>
    <x v="344"/>
  </r>
  <r>
    <x v="9"/>
    <x v="7"/>
    <x v="324"/>
    <x v="284"/>
    <n v="0"/>
    <n v="71"/>
    <n v="5339"/>
    <x v="304"/>
    <x v="316"/>
    <n v="0"/>
    <d v="2022-01-01T00:00:00"/>
    <x v="345"/>
  </r>
  <r>
    <x v="9"/>
    <x v="4"/>
    <x v="325"/>
    <x v="285"/>
    <n v="0"/>
    <n v="5"/>
    <n v="337"/>
    <x v="305"/>
    <x v="317"/>
    <n v="0"/>
    <d v="2022-01-01T00:00:00"/>
    <x v="346"/>
  </r>
  <r>
    <x v="9"/>
    <x v="5"/>
    <x v="326"/>
    <x v="280"/>
    <n v="0"/>
    <n v="0"/>
    <n v="3887"/>
    <x v="306"/>
    <x v="318"/>
    <n v="0"/>
    <d v="2022-01-01T00:00:00"/>
    <x v="347"/>
  </r>
  <r>
    <x v="9"/>
    <x v="8"/>
    <x v="327"/>
    <x v="286"/>
    <n v="9"/>
    <n v="6"/>
    <n v="232"/>
    <x v="307"/>
    <x v="37"/>
    <n v="0"/>
    <d v="2022-01-01T00:00:00"/>
    <x v="348"/>
  </r>
  <r>
    <x v="9"/>
    <x v="13"/>
    <x v="328"/>
    <x v="287"/>
    <n v="4"/>
    <n v="2171"/>
    <n v="9327"/>
    <x v="308"/>
    <x v="319"/>
    <n v="0"/>
    <d v="2022-01-01T00:00:00"/>
    <x v="349"/>
  </r>
  <r>
    <x v="9"/>
    <x v="9"/>
    <x v="329"/>
    <x v="288"/>
    <n v="603"/>
    <n v="13"/>
    <n v="1089"/>
    <x v="309"/>
    <x v="320"/>
    <n v="0"/>
    <d v="2022-01-01T00:00:00"/>
    <x v="350"/>
  </r>
  <r>
    <x v="9"/>
    <x v="10"/>
    <x v="330"/>
    <x v="289"/>
    <n v="2"/>
    <n v="0"/>
    <n v="2"/>
    <x v="310"/>
    <x v="37"/>
    <n v="0"/>
    <d v="2022-01-01T00:00:00"/>
    <x v="351"/>
  </r>
  <r>
    <x v="9"/>
    <x v="11"/>
    <x v="331"/>
    <x v="290"/>
    <n v="236"/>
    <n v="49"/>
    <n v="2666"/>
    <x v="311"/>
    <x v="321"/>
    <n v="0"/>
    <d v="2022-01-01T00:00:00"/>
    <x v="352"/>
  </r>
  <r>
    <x v="9"/>
    <x v="12"/>
    <x v="332"/>
    <x v="291"/>
    <n v="0"/>
    <n v="142"/>
    <n v="416"/>
    <x v="312"/>
    <x v="295"/>
    <n v="0"/>
    <d v="2022-01-01T00:00:00"/>
    <x v="353"/>
  </r>
  <r>
    <x v="9"/>
    <x v="14"/>
    <x v="333"/>
    <x v="292"/>
    <n v="2"/>
    <n v="35"/>
    <n v="1719"/>
    <x v="313"/>
    <x v="322"/>
    <n v="0"/>
    <d v="2022-01-01T00:00:00"/>
    <x v="354"/>
  </r>
  <r>
    <x v="9"/>
    <x v="15"/>
    <x v="334"/>
    <x v="293"/>
    <n v="0"/>
    <n v="48"/>
    <n v="734"/>
    <x v="314"/>
    <x v="290"/>
    <n v="0"/>
    <d v="2022-01-01T00:00:00"/>
    <x v="355"/>
  </r>
  <r>
    <x v="9"/>
    <x v="16"/>
    <x v="335"/>
    <x v="294"/>
    <n v="192"/>
    <n v="1"/>
    <n v="381"/>
    <x v="315"/>
    <x v="294"/>
    <n v="0"/>
    <d v="2022-01-01T00:00:00"/>
    <x v="356"/>
  </r>
  <r>
    <x v="9"/>
    <x v="17"/>
    <x v="336"/>
    <x v="295"/>
    <n v="0"/>
    <n v="688"/>
    <n v="366"/>
    <x v="316"/>
    <x v="37"/>
    <n v="0"/>
    <d v="2022-01-01T00:00:00"/>
    <x v="357"/>
  </r>
  <r>
    <x v="9"/>
    <x v="18"/>
    <x v="337"/>
    <x v="296"/>
    <n v="0"/>
    <n v="9"/>
    <n v="111"/>
    <x v="317"/>
    <x v="323"/>
    <n v="0"/>
    <d v="2022-01-01T00:00:00"/>
    <x v="358"/>
  </r>
  <r>
    <x v="9"/>
    <x v="19"/>
    <x v="338"/>
    <x v="297"/>
    <n v="15"/>
    <n v="0"/>
    <n v="749"/>
    <x v="318"/>
    <x v="290"/>
    <n v="0"/>
    <d v="2022-01-01T00:00:00"/>
    <x v="359"/>
  </r>
  <r>
    <x v="9"/>
    <x v="20"/>
    <x v="339"/>
    <x v="298"/>
    <n v="0"/>
    <n v="39"/>
    <n v="360"/>
    <x v="319"/>
    <x v="37"/>
    <n v="0"/>
    <d v="2022-01-01T00:00:00"/>
    <x v="360"/>
  </r>
  <r>
    <x v="9"/>
    <x v="21"/>
    <x v="340"/>
    <x v="299"/>
    <n v="0"/>
    <n v="120"/>
    <n v="469"/>
    <x v="320"/>
    <x v="324"/>
    <n v="0"/>
    <d v="2022-01-01T00:00:00"/>
    <x v="361"/>
  </r>
  <r>
    <x v="9"/>
    <x v="22"/>
    <x v="341"/>
    <x v="300"/>
    <n v="0"/>
    <n v="220"/>
    <n v="228"/>
    <x v="319"/>
    <x v="325"/>
    <n v="0"/>
    <d v="2022-01-01T00:00:00"/>
    <x v="362"/>
  </r>
  <r>
    <x v="9"/>
    <x v="23"/>
    <x v="342"/>
    <x v="301"/>
    <n v="519"/>
    <n v="0"/>
    <n v="3177"/>
    <x v="321"/>
    <x v="326"/>
    <n v="0"/>
    <d v="2022-01-01T00:00:00"/>
    <x v="363"/>
  </r>
  <r>
    <x v="9"/>
    <x v="24"/>
    <x v="343"/>
    <x v="248"/>
    <n v="23"/>
    <n v="0"/>
    <n v="30"/>
    <x v="322"/>
    <x v="327"/>
    <n v="0"/>
    <d v="2022-01-01T00:00:00"/>
    <x v="364"/>
  </r>
  <r>
    <x v="9"/>
    <x v="25"/>
    <x v="308"/>
    <x v="302"/>
    <n v="4"/>
    <n v="13"/>
    <n v="1129"/>
    <x v="323"/>
    <x v="299"/>
    <n v="0"/>
    <d v="2022-01-01T00:00:00"/>
    <x v="365"/>
  </r>
  <r>
    <x v="9"/>
    <x v="26"/>
    <x v="344"/>
    <x v="303"/>
    <n v="0"/>
    <n v="12"/>
    <n v="1"/>
    <x v="324"/>
    <x v="295"/>
    <n v="0"/>
    <d v="2022-01-01T00:00:00"/>
    <x v="366"/>
  </r>
  <r>
    <x v="9"/>
    <x v="27"/>
    <x v="345"/>
    <x v="300"/>
    <n v="0"/>
    <n v="6"/>
    <n v="527"/>
    <x v="325"/>
    <x v="328"/>
    <n v="0"/>
    <d v="2022-01-01T00:00:00"/>
    <x v="367"/>
  </r>
  <r>
    <x v="9"/>
    <x v="28"/>
    <x v="346"/>
    <x v="304"/>
    <n v="134"/>
    <n v="82"/>
    <n v="3826"/>
    <x v="326"/>
    <x v="303"/>
    <n v="0"/>
    <d v="2022-01-01T00:00:00"/>
    <x v="368"/>
  </r>
  <r>
    <x v="9"/>
    <x v="29"/>
    <x v="347"/>
    <x v="288"/>
    <n v="84"/>
    <n v="234"/>
    <n v="2344"/>
    <x v="327"/>
    <x v="329"/>
    <n v="0"/>
    <d v="2022-01-01T00:00:00"/>
    <x v="369"/>
  </r>
  <r>
    <x v="9"/>
    <x v="30"/>
    <x v="348"/>
    <x v="305"/>
    <n v="0"/>
    <n v="0"/>
    <n v="2452"/>
    <x v="299"/>
    <x v="37"/>
    <n v="0"/>
    <d v="2022-01-01T00:00:00"/>
    <x v="370"/>
  </r>
  <r>
    <x v="9"/>
    <x v="46"/>
    <x v="349"/>
    <x v="306"/>
    <n v="312"/>
    <n v="5550"/>
    <n v="1"/>
    <x v="35"/>
    <x v="325"/>
    <n v="0"/>
    <d v="2022-01-01T00:00:00"/>
    <x v="371"/>
  </r>
  <r>
    <x v="9"/>
    <x v="45"/>
    <x v="350"/>
    <x v="307"/>
    <n v="0"/>
    <n v="2657"/>
    <n v="723"/>
    <x v="328"/>
    <x v="330"/>
    <n v="0"/>
    <d v="2022-01-01T00:00:00"/>
    <x v="372"/>
  </r>
  <r>
    <x v="9"/>
    <x v="48"/>
    <x v="351"/>
    <x v="308"/>
    <n v="26"/>
    <n v="2235"/>
    <n v="4505"/>
    <x v="329"/>
    <x v="331"/>
    <n v="0"/>
    <d v="2022-01-01T00:00:00"/>
    <x v="373"/>
  </r>
  <r>
    <x v="9"/>
    <x v="47"/>
    <x v="352"/>
    <x v="309"/>
    <n v="0"/>
    <n v="41"/>
    <n v="2223"/>
    <x v="330"/>
    <x v="295"/>
    <n v="0"/>
    <d v="2022-01-01T00:00:00"/>
    <x v="374"/>
  </r>
  <r>
    <x v="9"/>
    <x v="35"/>
    <x v="316"/>
    <x v="310"/>
    <n v="0"/>
    <n v="5"/>
    <n v="0"/>
    <x v="35"/>
    <x v="332"/>
    <n v="0"/>
    <d v="2022-01-01T00:00:00"/>
    <x v="375"/>
  </r>
  <r>
    <x v="9"/>
    <x v="44"/>
    <x v="36"/>
    <x v="35"/>
    <n v="0"/>
    <n v="0"/>
    <n v="1744"/>
    <x v="35"/>
    <x v="37"/>
    <n v="24597"/>
    <d v="2022-01-01T00:00:00"/>
    <x v="376"/>
  </r>
  <r>
    <x v="9"/>
    <x v="37"/>
    <x v="36"/>
    <x v="35"/>
    <n v="51801"/>
    <n v="0"/>
    <n v="861"/>
    <x v="35"/>
    <x v="37"/>
    <n v="10916"/>
    <d v="2022-01-01T00:00:00"/>
    <x v="377"/>
  </r>
  <r>
    <x v="10"/>
    <x v="0"/>
    <x v="353"/>
    <x v="311"/>
    <n v="28"/>
    <n v="5"/>
    <n v="195"/>
    <x v="331"/>
    <x v="267"/>
    <n v="0"/>
    <d v="2023-01-01T00:00:00"/>
    <x v="378"/>
  </r>
  <r>
    <x v="10"/>
    <x v="39"/>
    <x v="354"/>
    <x v="312"/>
    <n v="0"/>
    <n v="7"/>
    <n v="309"/>
    <x v="332"/>
    <x v="321"/>
    <n v="0"/>
    <d v="2023-01-01T00:00:00"/>
    <x v="379"/>
  </r>
  <r>
    <x v="10"/>
    <x v="2"/>
    <x v="355"/>
    <x v="313"/>
    <n v="73"/>
    <n v="45"/>
    <n v="237"/>
    <x v="333"/>
    <x v="306"/>
    <n v="0"/>
    <d v="2023-01-01T00:00:00"/>
    <x v="380"/>
  </r>
  <r>
    <x v="10"/>
    <x v="3"/>
    <x v="356"/>
    <x v="314"/>
    <n v="0"/>
    <n v="0"/>
    <n v="1294"/>
    <x v="334"/>
    <x v="333"/>
    <n v="0"/>
    <d v="2023-01-01T00:00:00"/>
    <x v="381"/>
  </r>
  <r>
    <x v="10"/>
    <x v="6"/>
    <x v="357"/>
    <x v="315"/>
    <n v="0"/>
    <n v="51"/>
    <n v="1711"/>
    <x v="335"/>
    <x v="334"/>
    <n v="0"/>
    <d v="2023-01-01T00:00:00"/>
    <x v="382"/>
  </r>
  <r>
    <x v="10"/>
    <x v="7"/>
    <x v="358"/>
    <x v="316"/>
    <n v="0"/>
    <n v="41"/>
    <n v="1347"/>
    <x v="336"/>
    <x v="297"/>
    <n v="0"/>
    <d v="2023-01-01T00:00:00"/>
    <x v="383"/>
  </r>
  <r>
    <x v="10"/>
    <x v="4"/>
    <x v="359"/>
    <x v="317"/>
    <n v="0"/>
    <n v="0"/>
    <n v="469"/>
    <x v="337"/>
    <x v="335"/>
    <n v="0"/>
    <d v="2023-01-01T00:00:00"/>
    <x v="384"/>
  </r>
  <r>
    <x v="10"/>
    <x v="5"/>
    <x v="360"/>
    <x v="318"/>
    <n v="0"/>
    <n v="0"/>
    <n v="1133"/>
    <x v="338"/>
    <x v="336"/>
    <n v="0"/>
    <d v="2023-01-01T00:00:00"/>
    <x v="385"/>
  </r>
  <r>
    <x v="10"/>
    <x v="8"/>
    <x v="361"/>
    <x v="319"/>
    <n v="0"/>
    <n v="9"/>
    <n v="375"/>
    <x v="339"/>
    <x v="312"/>
    <n v="0"/>
    <d v="2023-01-01T00:00:00"/>
    <x v="386"/>
  </r>
  <r>
    <x v="10"/>
    <x v="13"/>
    <x v="362"/>
    <x v="320"/>
    <n v="6"/>
    <n v="1823"/>
    <n v="2084"/>
    <x v="340"/>
    <x v="337"/>
    <n v="0"/>
    <d v="2023-01-01T00:00:00"/>
    <x v="387"/>
  </r>
  <r>
    <x v="10"/>
    <x v="9"/>
    <x v="363"/>
    <x v="321"/>
    <n v="437"/>
    <n v="2"/>
    <n v="596"/>
    <x v="341"/>
    <x v="338"/>
    <n v="0"/>
    <d v="2023-01-01T00:00:00"/>
    <x v="388"/>
  </r>
  <r>
    <x v="10"/>
    <x v="10"/>
    <x v="303"/>
    <x v="322"/>
    <n v="0"/>
    <n v="0"/>
    <n v="20"/>
    <x v="342"/>
    <x v="339"/>
    <n v="0"/>
    <d v="2023-01-01T00:00:00"/>
    <x v="389"/>
  </r>
  <r>
    <x v="10"/>
    <x v="11"/>
    <x v="364"/>
    <x v="323"/>
    <n v="0"/>
    <n v="33"/>
    <n v="2660"/>
    <x v="343"/>
    <x v="325"/>
    <n v="0"/>
    <d v="2023-01-01T00:00:00"/>
    <x v="390"/>
  </r>
  <r>
    <x v="10"/>
    <x v="12"/>
    <x v="365"/>
    <x v="324"/>
    <n v="0"/>
    <n v="99"/>
    <n v="433"/>
    <x v="309"/>
    <x v="295"/>
    <n v="0"/>
    <d v="2023-01-01T00:00:00"/>
    <x v="391"/>
  </r>
  <r>
    <x v="10"/>
    <x v="14"/>
    <x v="366"/>
    <x v="325"/>
    <n v="1"/>
    <n v="128"/>
    <n v="957"/>
    <x v="344"/>
    <x v="340"/>
    <n v="0"/>
    <d v="2023-01-01T00:00:00"/>
    <x v="392"/>
  </r>
  <r>
    <x v="10"/>
    <x v="15"/>
    <x v="367"/>
    <x v="326"/>
    <n v="0"/>
    <n v="41"/>
    <n v="819"/>
    <x v="345"/>
    <x v="341"/>
    <n v="0"/>
    <d v="2023-01-01T00:00:00"/>
    <x v="393"/>
  </r>
  <r>
    <x v="10"/>
    <x v="16"/>
    <x v="368"/>
    <x v="327"/>
    <n v="5"/>
    <n v="10"/>
    <n v="197"/>
    <x v="284"/>
    <x v="342"/>
    <n v="0"/>
    <d v="2023-01-01T00:00:00"/>
    <x v="394"/>
  </r>
  <r>
    <x v="10"/>
    <x v="17"/>
    <x v="369"/>
    <x v="328"/>
    <n v="0"/>
    <n v="533"/>
    <n v="571"/>
    <x v="346"/>
    <x v="340"/>
    <n v="0"/>
    <d v="2023-01-01T00:00:00"/>
    <x v="395"/>
  </r>
  <r>
    <x v="10"/>
    <x v="18"/>
    <x v="370"/>
    <x v="329"/>
    <n v="0"/>
    <n v="0"/>
    <n v="310"/>
    <x v="347"/>
    <x v="343"/>
    <n v="0"/>
    <d v="2023-01-01T00:00:00"/>
    <x v="396"/>
  </r>
  <r>
    <x v="10"/>
    <x v="19"/>
    <x v="371"/>
    <x v="330"/>
    <n v="0"/>
    <n v="0"/>
    <n v="976"/>
    <x v="348"/>
    <x v="290"/>
    <n v="0"/>
    <d v="2023-01-01T00:00:00"/>
    <x v="397"/>
  </r>
  <r>
    <x v="10"/>
    <x v="20"/>
    <x v="372"/>
    <x v="331"/>
    <n v="0"/>
    <n v="46"/>
    <n v="281"/>
    <x v="349"/>
    <x v="344"/>
    <n v="0"/>
    <d v="2023-01-01T00:00:00"/>
    <x v="398"/>
  </r>
  <r>
    <x v="10"/>
    <x v="21"/>
    <x v="373"/>
    <x v="332"/>
    <n v="2"/>
    <n v="125"/>
    <n v="371"/>
    <x v="350"/>
    <x v="345"/>
    <n v="0"/>
    <d v="2023-01-01T00:00:00"/>
    <x v="399"/>
  </r>
  <r>
    <x v="10"/>
    <x v="22"/>
    <x v="374"/>
    <x v="333"/>
    <n v="0"/>
    <n v="258"/>
    <n v="199"/>
    <x v="277"/>
    <x v="290"/>
    <n v="0"/>
    <d v="2023-01-01T00:00:00"/>
    <x v="400"/>
  </r>
  <r>
    <x v="10"/>
    <x v="23"/>
    <x v="375"/>
    <x v="334"/>
    <n v="0"/>
    <n v="0"/>
    <n v="2650"/>
    <x v="351"/>
    <x v="346"/>
    <n v="0"/>
    <d v="2023-01-01T00:00:00"/>
    <x v="401"/>
  </r>
  <r>
    <x v="10"/>
    <x v="24"/>
    <x v="376"/>
    <x v="335"/>
    <n v="0"/>
    <n v="0"/>
    <n v="119"/>
    <x v="352"/>
    <x v="347"/>
    <n v="0"/>
    <d v="2023-01-01T00:00:00"/>
    <x v="402"/>
  </r>
  <r>
    <x v="10"/>
    <x v="25"/>
    <x v="377"/>
    <x v="336"/>
    <n v="2"/>
    <n v="11"/>
    <n v="1014"/>
    <x v="353"/>
    <x v="348"/>
    <n v="0"/>
    <d v="2023-01-01T00:00:00"/>
    <x v="403"/>
  </r>
  <r>
    <x v="10"/>
    <x v="26"/>
    <x v="378"/>
    <x v="337"/>
    <n v="0"/>
    <n v="0"/>
    <n v="3"/>
    <x v="354"/>
    <x v="311"/>
    <n v="0"/>
    <d v="2023-01-01T00:00:00"/>
    <x v="404"/>
  </r>
  <r>
    <x v="10"/>
    <x v="27"/>
    <x v="379"/>
    <x v="338"/>
    <n v="0"/>
    <n v="0"/>
    <n v="211"/>
    <x v="355"/>
    <x v="349"/>
    <n v="0"/>
    <d v="2023-01-01T00:00:00"/>
    <x v="405"/>
  </r>
  <r>
    <x v="10"/>
    <x v="28"/>
    <x v="380"/>
    <x v="339"/>
    <n v="0"/>
    <n v="82"/>
    <n v="841"/>
    <x v="356"/>
    <x v="350"/>
    <n v="0"/>
    <d v="2023-01-01T00:00:00"/>
    <x v="406"/>
  </r>
  <r>
    <x v="10"/>
    <x v="29"/>
    <x v="381"/>
    <x v="340"/>
    <n v="1"/>
    <n v="66"/>
    <n v="2891"/>
    <x v="357"/>
    <x v="307"/>
    <n v="0"/>
    <d v="2023-01-01T00:00:00"/>
    <x v="407"/>
  </r>
  <r>
    <x v="10"/>
    <x v="30"/>
    <x v="382"/>
    <x v="341"/>
    <n v="0"/>
    <n v="0"/>
    <n v="1403"/>
    <x v="358"/>
    <x v="37"/>
    <n v="0"/>
    <d v="2023-01-01T00:00:00"/>
    <x v="408"/>
  </r>
  <r>
    <x v="10"/>
    <x v="46"/>
    <x v="383"/>
    <x v="342"/>
    <n v="891"/>
    <n v="4979"/>
    <n v="362"/>
    <x v="359"/>
    <x v="351"/>
    <n v="0"/>
    <d v="2023-01-01T00:00:00"/>
    <x v="409"/>
  </r>
  <r>
    <x v="10"/>
    <x v="45"/>
    <x v="384"/>
    <x v="343"/>
    <n v="5"/>
    <n v="2142"/>
    <n v="639"/>
    <x v="360"/>
    <x v="352"/>
    <n v="0"/>
    <d v="2023-01-01T00:00:00"/>
    <x v="410"/>
  </r>
  <r>
    <x v="10"/>
    <x v="48"/>
    <x v="385"/>
    <x v="344"/>
    <n v="0"/>
    <n v="2012"/>
    <n v="1445"/>
    <x v="35"/>
    <x v="37"/>
    <n v="0"/>
    <d v="2023-01-01T00:00:00"/>
    <x v="411"/>
  </r>
  <r>
    <x v="10"/>
    <x v="47"/>
    <x v="289"/>
    <x v="345"/>
    <n v="220"/>
    <n v="21"/>
    <n v="2464"/>
    <x v="361"/>
    <x v="343"/>
    <n v="0"/>
    <d v="2023-01-01T00:00:00"/>
    <x v="412"/>
  </r>
  <r>
    <x v="10"/>
    <x v="35"/>
    <x v="386"/>
    <x v="346"/>
    <n v="0"/>
    <n v="3"/>
    <n v="0"/>
    <x v="299"/>
    <x v="343"/>
    <n v="0"/>
    <d v="2023-01-01T00:00:00"/>
    <x v="413"/>
  </r>
  <r>
    <x v="10"/>
    <x v="44"/>
    <x v="36"/>
    <x v="35"/>
    <n v="0"/>
    <n v="0"/>
    <n v="3858"/>
    <x v="35"/>
    <x v="37"/>
    <n v="53086"/>
    <d v="2023-01-01T00:00:00"/>
    <x v="414"/>
  </r>
  <r>
    <x v="10"/>
    <x v="37"/>
    <x v="36"/>
    <x v="347"/>
    <n v="0"/>
    <n v="0"/>
    <n v="1789"/>
    <x v="35"/>
    <x v="37"/>
    <n v="27071"/>
    <d v="2023-01-01T00:00:00"/>
    <x v="415"/>
  </r>
  <r>
    <x v="11"/>
    <x v="0"/>
    <x v="387"/>
    <x v="348"/>
    <n v="0"/>
    <n v="28"/>
    <n v="174"/>
    <x v="362"/>
    <x v="353"/>
    <n v="0"/>
    <d v="2024-01-01T00:00:00"/>
    <x v="416"/>
  </r>
  <r>
    <x v="11"/>
    <x v="1"/>
    <x v="388"/>
    <x v="349"/>
    <n v="19"/>
    <n v="0"/>
    <n v="257"/>
    <x v="363"/>
    <x v="290"/>
    <n v="0"/>
    <d v="2024-01-01T00:00:00"/>
    <x v="417"/>
  </r>
  <r>
    <x v="11"/>
    <x v="2"/>
    <x v="389"/>
    <x v="350"/>
    <n v="250"/>
    <n v="59"/>
    <n v="163"/>
    <x v="364"/>
    <x v="348"/>
    <n v="0"/>
    <d v="2024-01-01T00:00:00"/>
    <x v="418"/>
  </r>
  <r>
    <x v="11"/>
    <x v="3"/>
    <x v="390"/>
    <x v="351"/>
    <n v="19"/>
    <n v="0"/>
    <n v="1322"/>
    <x v="365"/>
    <x v="354"/>
    <n v="0"/>
    <d v="2024-01-01T00:00:00"/>
    <x v="419"/>
  </r>
  <r>
    <x v="11"/>
    <x v="4"/>
    <x v="391"/>
    <x v="352"/>
    <n v="0"/>
    <n v="0"/>
    <n v="607"/>
    <x v="366"/>
    <x v="355"/>
    <n v="0"/>
    <d v="2024-01-01T00:00:00"/>
    <x v="420"/>
  </r>
  <r>
    <x v="11"/>
    <x v="5"/>
    <x v="392"/>
    <x v="353"/>
    <n v="0"/>
    <n v="0"/>
    <n v="1177"/>
    <x v="367"/>
    <x v="356"/>
    <n v="0"/>
    <d v="2024-01-01T00:00:00"/>
    <x v="421"/>
  </r>
  <r>
    <x v="11"/>
    <x v="6"/>
    <x v="316"/>
    <x v="354"/>
    <n v="0"/>
    <n v="0"/>
    <n v="1450"/>
    <x v="368"/>
    <x v="357"/>
    <n v="0"/>
    <d v="2024-01-01T00:00:00"/>
    <x v="422"/>
  </r>
  <r>
    <x v="11"/>
    <x v="7"/>
    <x v="393"/>
    <x v="256"/>
    <n v="0"/>
    <n v="4"/>
    <n v="118"/>
    <x v="369"/>
    <x v="339"/>
    <n v="0"/>
    <d v="2024-01-01T00:00:00"/>
    <x v="423"/>
  </r>
  <r>
    <x v="11"/>
    <x v="8"/>
    <x v="394"/>
    <x v="354"/>
    <n v="0"/>
    <n v="8"/>
    <n v="486"/>
    <x v="370"/>
    <x v="325"/>
    <n v="0"/>
    <d v="2024-01-01T00:00:00"/>
    <x v="424"/>
  </r>
  <r>
    <x v="11"/>
    <x v="9"/>
    <x v="395"/>
    <x v="355"/>
    <n v="4"/>
    <n v="1"/>
    <n v="804"/>
    <x v="371"/>
    <x v="312"/>
    <n v="0"/>
    <d v="2024-01-01T00:00:00"/>
    <x v="425"/>
  </r>
  <r>
    <x v="11"/>
    <x v="10"/>
    <x v="396"/>
    <x v="356"/>
    <n v="104"/>
    <n v="6"/>
    <n v="38"/>
    <x v="372"/>
    <x v="293"/>
    <n v="0"/>
    <d v="2024-01-01T00:00:00"/>
    <x v="426"/>
  </r>
  <r>
    <x v="11"/>
    <x v="11"/>
    <x v="397"/>
    <x v="357"/>
    <n v="0"/>
    <n v="20"/>
    <n v="2989"/>
    <x v="373"/>
    <x v="322"/>
    <n v="0"/>
    <d v="2024-01-01T00:00:00"/>
    <x v="427"/>
  </r>
  <r>
    <x v="11"/>
    <x v="12"/>
    <x v="398"/>
    <x v="358"/>
    <n v="0"/>
    <n v="76"/>
    <n v="521"/>
    <x v="292"/>
    <x v="308"/>
    <n v="0"/>
    <d v="2024-01-01T00:00:00"/>
    <x v="428"/>
  </r>
  <r>
    <x v="11"/>
    <x v="13"/>
    <x v="399"/>
    <x v="359"/>
    <n v="694"/>
    <n v="2294"/>
    <n v="1286"/>
    <x v="374"/>
    <x v="358"/>
    <n v="0"/>
    <d v="2024-01-01T00:00:00"/>
    <x v="429"/>
  </r>
  <r>
    <x v="11"/>
    <x v="14"/>
    <x v="400"/>
    <x v="360"/>
    <n v="2"/>
    <n v="120"/>
    <n v="1081"/>
    <x v="375"/>
    <x v="359"/>
    <n v="0"/>
    <d v="2024-01-01T00:00:00"/>
    <x v="430"/>
  </r>
  <r>
    <x v="11"/>
    <x v="15"/>
    <x v="401"/>
    <x v="361"/>
    <n v="0"/>
    <n v="37"/>
    <n v="698"/>
    <x v="376"/>
    <x v="360"/>
    <n v="0"/>
    <d v="2024-01-01T00:00:00"/>
    <x v="431"/>
  </r>
  <r>
    <x v="11"/>
    <x v="16"/>
    <x v="402"/>
    <x v="362"/>
    <n v="0"/>
    <n v="0"/>
    <n v="180"/>
    <x v="377"/>
    <x v="361"/>
    <n v="0"/>
    <d v="2024-01-01T00:00:00"/>
    <x v="432"/>
  </r>
  <r>
    <x v="11"/>
    <x v="17"/>
    <x v="403"/>
    <x v="363"/>
    <n v="0"/>
    <n v="529"/>
    <n v="720"/>
    <x v="378"/>
    <x v="311"/>
    <n v="0"/>
    <d v="2024-01-01T00:00:00"/>
    <x v="433"/>
  </r>
  <r>
    <x v="11"/>
    <x v="18"/>
    <x v="404"/>
    <x v="364"/>
    <n v="0"/>
    <n v="3"/>
    <n v="620"/>
    <x v="379"/>
    <x v="362"/>
    <n v="0"/>
    <d v="2024-01-01T00:00:00"/>
    <x v="434"/>
  </r>
  <r>
    <x v="11"/>
    <x v="19"/>
    <x v="405"/>
    <x v="365"/>
    <n v="0"/>
    <n v="0"/>
    <n v="1302"/>
    <x v="380"/>
    <x v="290"/>
    <n v="0"/>
    <d v="2024-01-01T00:00:00"/>
    <x v="435"/>
  </r>
  <r>
    <x v="11"/>
    <x v="20"/>
    <x v="406"/>
    <x v="366"/>
    <n v="10"/>
    <n v="6"/>
    <n v="222"/>
    <x v="307"/>
    <x v="363"/>
    <n v="0"/>
    <d v="2024-01-01T00:00:00"/>
    <x v="436"/>
  </r>
  <r>
    <x v="11"/>
    <x v="21"/>
    <x v="407"/>
    <x v="265"/>
    <n v="0"/>
    <n v="115"/>
    <n v="264"/>
    <x v="274"/>
    <x v="301"/>
    <n v="0"/>
    <d v="2024-01-01T00:00:00"/>
    <x v="437"/>
  </r>
  <r>
    <x v="11"/>
    <x v="22"/>
    <x v="326"/>
    <x v="367"/>
    <n v="0"/>
    <n v="276"/>
    <n v="234"/>
    <x v="381"/>
    <x v="37"/>
    <n v="0"/>
    <d v="2024-01-01T00:00:00"/>
    <x v="438"/>
  </r>
  <r>
    <x v="11"/>
    <x v="23"/>
    <x v="408"/>
    <x v="368"/>
    <n v="0"/>
    <n v="0"/>
    <n v="2900"/>
    <x v="382"/>
    <x v="364"/>
    <n v="0"/>
    <d v="2024-01-01T00:00:00"/>
    <x v="439"/>
  </r>
  <r>
    <x v="11"/>
    <x v="24"/>
    <x v="289"/>
    <x v="369"/>
    <n v="11"/>
    <n v="0"/>
    <n v="269"/>
    <x v="383"/>
    <x v="365"/>
    <n v="0"/>
    <d v="2024-01-01T00:00:00"/>
    <x v="440"/>
  </r>
  <r>
    <x v="11"/>
    <x v="25"/>
    <x v="352"/>
    <x v="254"/>
    <n v="0"/>
    <n v="0"/>
    <n v="1091"/>
    <x v="384"/>
    <x v="366"/>
    <n v="0"/>
    <d v="2024-01-01T00:00:00"/>
    <x v="441"/>
  </r>
  <r>
    <x v="11"/>
    <x v="26"/>
    <x v="395"/>
    <x v="370"/>
    <n v="0"/>
    <n v="0"/>
    <n v="2"/>
    <x v="35"/>
    <x v="290"/>
    <n v="0"/>
    <d v="2024-01-01T00:00:00"/>
    <x v="442"/>
  </r>
  <r>
    <x v="11"/>
    <x v="27"/>
    <x v="409"/>
    <x v="371"/>
    <n v="0"/>
    <n v="0"/>
    <n v="95"/>
    <x v="385"/>
    <x v="367"/>
    <n v="0"/>
    <d v="2024-01-01T00:00:00"/>
    <x v="443"/>
  </r>
  <r>
    <x v="11"/>
    <x v="28"/>
    <x v="319"/>
    <x v="372"/>
    <n v="1"/>
    <n v="111"/>
    <n v="1014"/>
    <x v="386"/>
    <x v="368"/>
    <n v="0"/>
    <d v="2024-01-01T00:00:00"/>
    <x v="444"/>
  </r>
  <r>
    <x v="11"/>
    <x v="29"/>
    <x v="410"/>
    <x v="330"/>
    <n v="29"/>
    <n v="206"/>
    <n v="2768"/>
    <x v="387"/>
    <x v="369"/>
    <n v="0"/>
    <d v="2024-01-01T00:00:00"/>
    <x v="445"/>
  </r>
  <r>
    <x v="11"/>
    <x v="30"/>
    <x v="411"/>
    <x v="373"/>
    <n v="0"/>
    <n v="0"/>
    <n v="1865"/>
    <x v="35"/>
    <x v="37"/>
    <n v="0"/>
    <d v="2024-01-01T00:00:00"/>
    <x v="446"/>
  </r>
  <r>
    <x v="11"/>
    <x v="31"/>
    <x v="412"/>
    <x v="374"/>
    <n v="0"/>
    <n v="2594"/>
    <n v="742"/>
    <x v="357"/>
    <x v="281"/>
    <n v="0"/>
    <d v="2024-01-01T00:00:00"/>
    <x v="447"/>
  </r>
  <r>
    <x v="11"/>
    <x v="32"/>
    <x v="413"/>
    <x v="375"/>
    <n v="0"/>
    <n v="4859"/>
    <n v="1042"/>
    <x v="81"/>
    <x v="37"/>
    <n v="0"/>
    <d v="2024-01-01T00:00:00"/>
    <x v="448"/>
  </r>
  <r>
    <x v="11"/>
    <x v="33"/>
    <x v="414"/>
    <x v="376"/>
    <n v="285"/>
    <n v="38"/>
    <n v="1732"/>
    <x v="388"/>
    <x v="370"/>
    <n v="0"/>
    <d v="2024-01-01T00:00:00"/>
    <x v="449"/>
  </r>
  <r>
    <x v="11"/>
    <x v="34"/>
    <x v="374"/>
    <x v="377"/>
    <n v="0"/>
    <n v="2083"/>
    <n v="950"/>
    <x v="35"/>
    <x v="37"/>
    <n v="0"/>
    <d v="2024-01-01T00:00:00"/>
    <x v="450"/>
  </r>
  <r>
    <x v="11"/>
    <x v="35"/>
    <x v="415"/>
    <x v="378"/>
    <n v="0"/>
    <n v="8"/>
    <n v="15"/>
    <x v="35"/>
    <x v="371"/>
    <n v="0"/>
    <d v="2024-01-01T00:00:00"/>
    <x v="451"/>
  </r>
  <r>
    <x v="11"/>
    <x v="36"/>
    <x v="36"/>
    <x v="35"/>
    <n v="0"/>
    <n v="0"/>
    <n v="2279"/>
    <x v="35"/>
    <x v="37"/>
    <n v="0"/>
    <d v="2024-01-01T00:00:00"/>
    <x v="452"/>
  </r>
  <r>
    <x v="11"/>
    <x v="37"/>
    <x v="36"/>
    <x v="35"/>
    <n v="58343"/>
    <n v="0"/>
    <n v="1000"/>
    <x v="35"/>
    <x v="37"/>
    <n v="0"/>
    <d v="2024-01-01T00:00:00"/>
    <x v="453"/>
  </r>
  <r>
    <x v="12"/>
    <x v="0"/>
    <x v="416"/>
    <x v="379"/>
    <n v="3"/>
    <n v="12"/>
    <n v="47"/>
    <x v="389"/>
    <x v="320"/>
    <n v="0"/>
    <d v="2025-01-01T00:00:00"/>
    <x v="454"/>
  </r>
  <r>
    <x v="12"/>
    <x v="1"/>
    <x v="290"/>
    <x v="380"/>
    <n v="0"/>
    <n v="0"/>
    <n v="10"/>
    <x v="324"/>
    <x v="37"/>
    <n v="0"/>
    <d v="2025-01-01T00:00:00"/>
    <x v="455"/>
  </r>
  <r>
    <x v="12"/>
    <x v="2"/>
    <x v="374"/>
    <x v="381"/>
    <n v="50"/>
    <n v="36"/>
    <n v="75"/>
    <x v="390"/>
    <x v="372"/>
    <n v="0"/>
    <d v="2025-01-01T00:00:00"/>
    <x v="456"/>
  </r>
  <r>
    <x v="12"/>
    <x v="3"/>
    <x v="340"/>
    <x v="382"/>
    <n v="0"/>
    <n v="0"/>
    <n v="447"/>
    <x v="391"/>
    <x v="373"/>
    <n v="0"/>
    <d v="2025-01-01T00:00:00"/>
    <x v="457"/>
  </r>
  <r>
    <x v="12"/>
    <x v="4"/>
    <x v="417"/>
    <x v="383"/>
    <n v="0"/>
    <n v="0"/>
    <n v="215"/>
    <x v="35"/>
    <x v="37"/>
    <n v="0"/>
    <d v="2025-01-01T00:00:00"/>
    <x v="458"/>
  </r>
  <r>
    <x v="12"/>
    <x v="5"/>
    <x v="307"/>
    <x v="384"/>
    <n v="0"/>
    <n v="0"/>
    <n v="207"/>
    <x v="392"/>
    <x v="37"/>
    <n v="0"/>
    <d v="2025-01-01T00:00:00"/>
    <x v="459"/>
  </r>
  <r>
    <x v="12"/>
    <x v="6"/>
    <x v="418"/>
    <x v="385"/>
    <n v="40"/>
    <n v="0"/>
    <n v="618"/>
    <x v="393"/>
    <x v="374"/>
    <n v="0"/>
    <d v="2025-01-01T00:00:00"/>
    <x v="460"/>
  </r>
  <r>
    <x v="12"/>
    <x v="7"/>
    <x v="418"/>
    <x v="386"/>
    <n v="0"/>
    <n v="0"/>
    <n v="352"/>
    <x v="329"/>
    <x v="375"/>
    <n v="0"/>
    <d v="2025-01-01T00:00:00"/>
    <x v="461"/>
  </r>
  <r>
    <x v="12"/>
    <x v="8"/>
    <x v="419"/>
    <x v="387"/>
    <n v="0"/>
    <n v="0"/>
    <n v="55"/>
    <x v="394"/>
    <x v="340"/>
    <n v="0"/>
    <d v="2025-01-01T00:00:00"/>
    <x v="462"/>
  </r>
  <r>
    <x v="12"/>
    <x v="9"/>
    <x v="420"/>
    <x v="388"/>
    <n v="0"/>
    <n v="0"/>
    <n v="18"/>
    <x v="395"/>
    <x v="37"/>
    <n v="0"/>
    <d v="2025-01-01T00:00:00"/>
    <x v="463"/>
  </r>
  <r>
    <x v="12"/>
    <x v="10"/>
    <x v="421"/>
    <x v="297"/>
    <n v="0"/>
    <n v="5"/>
    <n v="0"/>
    <x v="396"/>
    <x v="37"/>
    <n v="0"/>
    <d v="2025-01-01T00:00:00"/>
    <x v="464"/>
  </r>
  <r>
    <x v="12"/>
    <x v="11"/>
    <x v="422"/>
    <x v="389"/>
    <n v="0"/>
    <n v="13"/>
    <n v="503"/>
    <x v="397"/>
    <x v="37"/>
    <n v="0"/>
    <d v="2025-01-01T00:00:00"/>
    <x v="465"/>
  </r>
  <r>
    <x v="12"/>
    <x v="12"/>
    <x v="407"/>
    <x v="322"/>
    <n v="0"/>
    <n v="31"/>
    <n v="157"/>
    <x v="258"/>
    <x v="312"/>
    <n v="0"/>
    <d v="2025-01-01T00:00:00"/>
    <x v="466"/>
  </r>
  <r>
    <x v="12"/>
    <x v="13"/>
    <x v="423"/>
    <x v="390"/>
    <n v="172"/>
    <n v="806"/>
    <n v="217"/>
    <x v="287"/>
    <x v="327"/>
    <n v="0"/>
    <d v="2025-01-01T00:00:00"/>
    <x v="467"/>
  </r>
  <r>
    <x v="12"/>
    <x v="14"/>
    <x v="424"/>
    <x v="391"/>
    <n v="37"/>
    <n v="49"/>
    <n v="347"/>
    <x v="398"/>
    <x v="322"/>
    <n v="0"/>
    <d v="2025-01-01T00:00:00"/>
    <x v="468"/>
  </r>
  <r>
    <x v="12"/>
    <x v="15"/>
    <x v="425"/>
    <x v="392"/>
    <n v="0"/>
    <n v="8"/>
    <n v="291"/>
    <x v="286"/>
    <x v="376"/>
    <n v="0"/>
    <d v="2025-01-01T00:00:00"/>
    <x v="469"/>
  </r>
  <r>
    <x v="12"/>
    <x v="16"/>
    <x v="386"/>
    <x v="263"/>
    <n v="0"/>
    <n v="0"/>
    <n v="65"/>
    <x v="399"/>
    <x v="37"/>
    <n v="0"/>
    <d v="2025-01-01T00:00:00"/>
    <x v="470"/>
  </r>
  <r>
    <x v="12"/>
    <x v="17"/>
    <x v="426"/>
    <x v="393"/>
    <n v="10"/>
    <n v="220"/>
    <n v="68"/>
    <x v="400"/>
    <x v="312"/>
    <n v="0"/>
    <d v="2025-01-01T00:00:00"/>
    <x v="471"/>
  </r>
  <r>
    <x v="12"/>
    <x v="18"/>
    <x v="427"/>
    <x v="394"/>
    <n v="0"/>
    <n v="2"/>
    <n v="241"/>
    <x v="401"/>
    <x v="377"/>
    <n v="0"/>
    <d v="2025-01-01T00:00:00"/>
    <x v="472"/>
  </r>
  <r>
    <x v="12"/>
    <x v="19"/>
    <x v="428"/>
    <x v="395"/>
    <n v="0"/>
    <n v="0"/>
    <n v="320"/>
    <x v="402"/>
    <x v="311"/>
    <n v="0"/>
    <d v="2025-01-01T00:00:00"/>
    <x v="473"/>
  </r>
  <r>
    <x v="12"/>
    <x v="20"/>
    <x v="429"/>
    <x v="396"/>
    <n v="39"/>
    <n v="0"/>
    <n v="66"/>
    <x v="403"/>
    <x v="293"/>
    <n v="0"/>
    <d v="2025-01-01T00:00:00"/>
    <x v="466"/>
  </r>
  <r>
    <x v="12"/>
    <x v="21"/>
    <x v="430"/>
    <x v="397"/>
    <n v="0"/>
    <n v="37"/>
    <n v="187"/>
    <x v="404"/>
    <x v="327"/>
    <n v="0"/>
    <d v="2025-01-01T00:00:00"/>
    <x v="474"/>
  </r>
  <r>
    <x v="12"/>
    <x v="22"/>
    <x v="431"/>
    <x v="398"/>
    <n v="0"/>
    <n v="124"/>
    <n v="49"/>
    <x v="405"/>
    <x v="37"/>
    <n v="0"/>
    <d v="2025-01-01T00:00:00"/>
    <x v="475"/>
  </r>
  <r>
    <x v="12"/>
    <x v="23"/>
    <x v="36"/>
    <x v="35"/>
    <n v="0"/>
    <n v="0"/>
    <n v="0"/>
    <x v="35"/>
    <x v="37"/>
    <n v="0"/>
    <d v="2025-01-01T00:00:00"/>
    <x v="302"/>
  </r>
  <r>
    <x v="12"/>
    <x v="24"/>
    <x v="432"/>
    <x v="322"/>
    <n v="0"/>
    <n v="0"/>
    <n v="56"/>
    <x v="406"/>
    <x v="308"/>
    <n v="0"/>
    <d v="2025-01-01T00:00:00"/>
    <x v="476"/>
  </r>
  <r>
    <x v="12"/>
    <x v="25"/>
    <x v="433"/>
    <x v="399"/>
    <n v="0"/>
    <n v="3"/>
    <n v="257"/>
    <x v="407"/>
    <x v="378"/>
    <n v="0"/>
    <d v="2025-01-01T00:00:00"/>
    <x v="477"/>
  </r>
  <r>
    <x v="12"/>
    <x v="26"/>
    <x v="418"/>
    <x v="400"/>
    <n v="0"/>
    <n v="0"/>
    <n v="8"/>
    <x v="35"/>
    <x v="37"/>
    <n v="0"/>
    <d v="2025-01-01T00:00:00"/>
    <x v="478"/>
  </r>
  <r>
    <x v="12"/>
    <x v="27"/>
    <x v="434"/>
    <x v="401"/>
    <n v="1"/>
    <n v="0"/>
    <n v="30"/>
    <x v="408"/>
    <x v="379"/>
    <n v="0"/>
    <d v="2025-01-01T00:00:00"/>
    <x v="479"/>
  </r>
  <r>
    <x v="12"/>
    <x v="28"/>
    <x v="435"/>
    <x v="402"/>
    <n v="4"/>
    <n v="42"/>
    <n v="147"/>
    <x v="409"/>
    <x v="380"/>
    <n v="0"/>
    <d v="2025-01-01T00:00:00"/>
    <x v="480"/>
  </r>
  <r>
    <x v="12"/>
    <x v="29"/>
    <x v="393"/>
    <x v="403"/>
    <n v="24"/>
    <n v="78"/>
    <n v="183"/>
    <x v="410"/>
    <x v="381"/>
    <n v="0"/>
    <d v="2025-01-01T00:00:00"/>
    <x v="481"/>
  </r>
  <r>
    <x v="12"/>
    <x v="30"/>
    <x v="436"/>
    <x v="404"/>
    <n v="0"/>
    <n v="0"/>
    <n v="445"/>
    <x v="35"/>
    <x v="382"/>
    <n v="0"/>
    <d v="2025-01-01T00:00:00"/>
    <x v="482"/>
  </r>
  <r>
    <x v="12"/>
    <x v="31"/>
    <x v="437"/>
    <x v="405"/>
    <n v="0"/>
    <n v="693"/>
    <n v="372"/>
    <x v="411"/>
    <x v="383"/>
    <n v="0"/>
    <d v="2025-01-01T00:00:00"/>
    <x v="483"/>
  </r>
  <r>
    <x v="12"/>
    <x v="32"/>
    <x v="438"/>
    <x v="406"/>
    <n v="0"/>
    <n v="2393"/>
    <n v="242"/>
    <x v="412"/>
    <x v="384"/>
    <n v="0"/>
    <d v="2025-01-01T00:00:00"/>
    <x v="484"/>
  </r>
  <r>
    <x v="12"/>
    <x v="33"/>
    <x v="439"/>
    <x v="407"/>
    <n v="6"/>
    <n v="20"/>
    <n v="287"/>
    <x v="285"/>
    <x v="349"/>
    <n v="0"/>
    <d v="2025-01-01T00:00:00"/>
    <x v="485"/>
  </r>
  <r>
    <x v="12"/>
    <x v="34"/>
    <x v="407"/>
    <x v="408"/>
    <n v="0"/>
    <n v="1036"/>
    <n v="196"/>
    <x v="35"/>
    <x v="37"/>
    <n v="0"/>
    <d v="2025-01-01T00:00:00"/>
    <x v="486"/>
  </r>
  <r>
    <x v="12"/>
    <x v="35"/>
    <x v="440"/>
    <x v="409"/>
    <n v="0"/>
    <n v="3"/>
    <n v="0"/>
    <x v="35"/>
    <x v="385"/>
    <n v="0"/>
    <d v="2025-01-01T00:00:00"/>
    <x v="487"/>
  </r>
  <r>
    <x v="12"/>
    <x v="36"/>
    <x v="36"/>
    <x v="35"/>
    <n v="0"/>
    <n v="0"/>
    <n v="0"/>
    <x v="35"/>
    <x v="37"/>
    <n v="0"/>
    <d v="2025-01-01T00:00:00"/>
    <x v="302"/>
  </r>
  <r>
    <x v="12"/>
    <x v="37"/>
    <x v="36"/>
    <x v="35"/>
    <n v="41812"/>
    <n v="0"/>
    <n v="1951"/>
    <x v="35"/>
    <x v="37"/>
    <n v="0"/>
    <d v="2025-01-01T00:00:00"/>
    <x v="48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36375442"/>
  </r>
  <r>
    <x v="1"/>
    <n v="11512451"/>
  </r>
  <r>
    <x v="2"/>
    <n v="661401"/>
  </r>
  <r>
    <x v="3"/>
    <n v="322484"/>
  </r>
  <r>
    <x v="4"/>
    <n v="2175717"/>
  </r>
  <r>
    <x v="5"/>
    <n v="1962313"/>
  </r>
  <r>
    <x v="6"/>
    <n v="3250887"/>
  </r>
  <r>
    <x v="7"/>
    <n v="65499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F62BD48-AAC3-4695-8D01-0E115DAB1328}" name="ServiciosDeportivosPorAño" cacheId="19" applyNumberFormats="0" applyBorderFormats="0" applyFontFormats="0" applyPatternFormats="0" applyAlignmentFormats="0" applyWidthHeightFormats="1" dataCaption="Valores" updatedVersion="8" minRefreshableVersion="3" useAutoFormatting="1" colGrandTotals="0" itemPrintTitles="1" createdVersion="8" indent="0" outline="1" outlineData="1" multipleFieldFilters="0" chartFormat="7" rowHeaderCaption="Años" colHeaderCaption="Nombre Oficina Representación">
  <location ref="A6:B21" firstHeaderRow="1" firstDataRow="2" firstDataCol="1"/>
  <pivotFields count="12">
    <pivotField axis="axisRow"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Col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numFmtId="1" showAll="0"/>
    <pivotField dataField="1"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numFmtId="1" showAll="0"/>
  </pivotFields>
  <rowFields count="1">
    <field x="0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 t="grand">
      <x/>
    </i>
  </rowItems>
  <colFields count="1">
    <field x="1"/>
  </colFields>
  <colItems count="1">
    <i>
      <x v="19"/>
    </i>
  </colItems>
  <dataFields count="1">
    <dataField name="Suma de Serv. Deportivos Derecho Hab Publ" fld="3" baseField="0" baseItem="0" numFmtId="1"/>
  </dataFields>
  <chartFormats count="99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5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" format="5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" format="5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" format="5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6" format="5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6" format="5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6" format="5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6" format="5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6" format="6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6" format="6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6" format="6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6" format="6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6" format="6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6" format="6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6" format="6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6" format="6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6" format="6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6" format="6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6" format="7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6" format="7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6" format="7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6" format="7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6" format="7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6" format="7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6" format="7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6" format="7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6" format="7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6" format="7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6" format="8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6" format="8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6" format="8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6" format="8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6" format="8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6" format="8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6" format="8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6" format="8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6" format="8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6" format="8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6" format="9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6" format="9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6" format="9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6" format="9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6" format="9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6" format="9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6" format="9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6" format="9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6" format="9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6" format="9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25D5B79-7889-4349-AA7F-C5C2592F1090}" name="ComparaciónEntreServiciosCulturalesVsDeportivosVsSociales" cacheId="19" applyNumberFormats="0" applyBorderFormats="0" applyFontFormats="0" applyPatternFormats="0" applyAlignmentFormats="0" applyWidthHeightFormats="1" dataCaption="Valores" updatedVersion="8" minRefreshableVersion="3" useAutoFormatting="1" rowGrandTotals="0" itemPrintTitles="1" createdVersion="8" indent="0" outline="1" outlineData="1" multipleFieldFilters="0" chartFormat="14" rowHeaderCaption="Nombre Oficina Representación">
  <location ref="A6:I7" firstHeaderRow="0" firstDataRow="1" firstDataCol="1"/>
  <pivotFields count="12">
    <pivotField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>
      <items count="50">
        <item h="1" x="0"/>
        <item h="1" x="38"/>
        <item h="1" x="1"/>
        <item h="1" x="39"/>
        <item h="1" x="2"/>
        <item h="1" x="3"/>
        <item h="1" x="6"/>
        <item h="1" x="7"/>
        <item h="1" x="4"/>
        <item h="1" x="5"/>
        <item h="1" x="44"/>
        <item h="1" x="36"/>
        <item h="1" x="45"/>
        <item h="1" x="47"/>
        <item h="1" x="48"/>
        <item h="1" x="46"/>
        <item h="1" x="8"/>
        <item h="1" x="9"/>
        <item h="1" x="10"/>
        <item x="11"/>
        <item h="1" x="37"/>
        <item h="1" x="12"/>
        <item h="1" x="13"/>
        <item h="1" x="14"/>
        <item h="1" x="15"/>
        <item h="1" x="16"/>
        <item h="1" x="17"/>
        <item h="1" x="18"/>
        <item h="1" x="35"/>
        <item h="1" x="19"/>
        <item h="1" x="20"/>
        <item h="1" x="21"/>
        <item h="1" x="40"/>
        <item h="1" x="42"/>
        <item h="1" x="43"/>
        <item h="1" x="41"/>
        <item h="1" x="22"/>
        <item h="1" x="23"/>
        <item h="1" x="24"/>
        <item h="1" x="31"/>
        <item h="1" x="33"/>
        <item h="1" x="34"/>
        <item h="1" x="32"/>
        <item h="1" x="25"/>
        <item h="1" x="26"/>
        <item h="1" x="27"/>
        <item h="1" x="28"/>
        <item h="1" x="29"/>
        <item h="1" x="30"/>
        <item t="default"/>
      </items>
    </pivotField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dataField="1" numFmtId="1" showAll="0"/>
    <pivotField numFmtId="14" showAll="0"/>
    <pivotField numFmtId="1" showAll="0"/>
  </pivotFields>
  <rowFields count="1">
    <field x="1"/>
  </rowFields>
  <rowItems count="1">
    <i>
      <x v="19"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a de Serv. Culturales Derecho Hab Publ" fld="2" baseField="0" baseItem="0" numFmtId="1"/>
    <dataField name="Suma de Serv. Deportivos Derecho Hab Publ" fld="3" baseField="0" baseItem="0" numFmtId="1"/>
    <dataField name="Suma de Serv. Sociales Derecho Hab Publ" fld="4" baseField="0" baseItem="0" numFmtId="1"/>
    <dataField name="Suma de Serv. Funerarios Derecho Hab Publ" fld="5" baseField="0" baseItem="0" numFmtId="1"/>
    <dataField name="Suma de Serv. Sociales Pensionados Jubl" fld="6" baseField="0" baseItem="0" numFmtId="1"/>
    <dataField name="Suma de Fome Deportivo Pensionados Jubl" fld="7" baseField="0" baseItem="0" numFmtId="1"/>
    <dataField name="Suma de Serv. Culturales Pensionados Jubl" fld="8" baseField="0" baseItem="0" numFmtId="1"/>
    <dataField name="Suma de Soci Comedores Pensionados Jubl" fld="9" baseField="0" baseItem="0" numFmtId="1"/>
  </dataFields>
  <chartFormats count="17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8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7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18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3" format="19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13" format="20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13" format="21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13" format="22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13" format="23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13" format="24" series="1">
      <pivotArea type="data" outline="0" fieldPosition="0">
        <references count="1">
          <reference field="4294967294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6020FD5-92A0-48FE-8CAE-735B6AC6C5DD}" name="TablaDinámica1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3:B83" firstHeaderRow="1" firstDataRow="1" firstDataCol="1"/>
  <pivotFields count="12">
    <pivotField numFmtId="1" showAll="0"/>
    <pivotField axis="axisRow" showAll="0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" showAll="0"/>
    <pivotField numFmtId="14" showAll="0"/>
    <pivotField dataField="1" numFmtId="1" showAll="0"/>
  </pivotFields>
  <rowFields count="1">
    <field x="1"/>
  </rowFields>
  <rowItems count="50">
    <i>
      <x v="33"/>
    </i>
    <i>
      <x v="32"/>
    </i>
    <i>
      <x v="34"/>
    </i>
    <i>
      <x v="35"/>
    </i>
    <i>
      <x v="11"/>
    </i>
    <i>
      <x v="10"/>
    </i>
    <i>
      <x v="44"/>
    </i>
    <i>
      <x v="3"/>
    </i>
    <i>
      <x v="2"/>
    </i>
    <i>
      <x v="4"/>
    </i>
    <i>
      <x/>
    </i>
    <i>
      <x v="31"/>
    </i>
    <i>
      <x v="18"/>
    </i>
    <i>
      <x v="37"/>
    </i>
    <i>
      <x v="13"/>
    </i>
    <i>
      <x v="40"/>
    </i>
    <i>
      <x v="6"/>
    </i>
    <i>
      <x v="30"/>
    </i>
    <i>
      <x v="38"/>
    </i>
    <i>
      <x v="39"/>
    </i>
    <i>
      <x v="46"/>
    </i>
    <i>
      <x v="17"/>
    </i>
    <i>
      <x v="12"/>
    </i>
    <i>
      <x v="41"/>
    </i>
    <i>
      <x v="9"/>
    </i>
    <i>
      <x v="42"/>
    </i>
    <i>
      <x v="15"/>
    </i>
    <i>
      <x v="29"/>
    </i>
    <i>
      <x v="25"/>
    </i>
    <i>
      <x v="24"/>
    </i>
    <i>
      <x v="23"/>
    </i>
    <i>
      <x v="14"/>
    </i>
    <i>
      <x v="20"/>
    </i>
    <i>
      <x v="21"/>
    </i>
    <i>
      <x v="45"/>
    </i>
    <i>
      <x v="43"/>
    </i>
    <i>
      <x v="7"/>
    </i>
    <i>
      <x v="16"/>
    </i>
    <i>
      <x v="5"/>
    </i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Suma de todos los Servicios" fld="11" baseField="0" baseItem="0" numFmtId="1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7A441A6-56C0-4FFA-911D-41686AFDD066}" name="RankingDeDelegaciones" cacheId="19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 rowHeaderCaption="Nombre Oficina Representación">
  <location ref="A9:B20" firstHeaderRow="1" firstDataRow="1" firstDataCol="1"/>
  <pivotFields count="12">
    <pivotField numFmtId="1" showAll="0">
      <items count="1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axis="axisRow" showAll="0" measureFilter="1" sortType="ascending">
      <items count="50">
        <item x="0"/>
        <item x="38"/>
        <item x="1"/>
        <item x="39"/>
        <item x="2"/>
        <item x="3"/>
        <item x="6"/>
        <item x="7"/>
        <item x="4"/>
        <item x="5"/>
        <item x="44"/>
        <item x="36"/>
        <item x="45"/>
        <item x="47"/>
        <item x="48"/>
        <item x="46"/>
        <item x="8"/>
        <item x="9"/>
        <item x="10"/>
        <item x="11"/>
        <item x="37"/>
        <item x="12"/>
        <item x="13"/>
        <item x="14"/>
        <item x="15"/>
        <item x="16"/>
        <item x="17"/>
        <item x="18"/>
        <item x="35"/>
        <item x="19"/>
        <item x="20"/>
        <item x="21"/>
        <item x="40"/>
        <item x="42"/>
        <item x="43"/>
        <item x="41"/>
        <item x="22"/>
        <item x="23"/>
        <item x="24"/>
        <item x="31"/>
        <item x="33"/>
        <item x="34"/>
        <item x="32"/>
        <item x="25"/>
        <item x="26"/>
        <item x="27"/>
        <item x="28"/>
        <item x="29"/>
        <item x="30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multipleItemSelectionAllowed="1" showAll="0">
      <items count="442">
        <item x="36"/>
        <item x="354"/>
        <item x="352"/>
        <item x="320"/>
        <item x="289"/>
        <item x="421"/>
        <item x="306"/>
        <item x="290"/>
        <item x="432"/>
        <item x="377"/>
        <item x="311"/>
        <item x="393"/>
        <item x="433"/>
        <item x="440"/>
        <item x="429"/>
        <item x="291"/>
        <item x="430"/>
        <item x="309"/>
        <item x="330"/>
        <item x="323"/>
        <item x="287"/>
        <item x="343"/>
        <item x="420"/>
        <item x="303"/>
        <item x="436"/>
        <item x="376"/>
        <item x="418"/>
        <item x="407"/>
        <item x="344"/>
        <item x="388"/>
        <item x="355"/>
        <item x="390"/>
        <item x="349"/>
        <item x="373"/>
        <item x="426"/>
        <item x="288"/>
        <item x="340"/>
        <item x="434"/>
        <item x="374"/>
        <item x="414"/>
        <item x="395"/>
        <item x="417"/>
        <item x="315"/>
        <item x="378"/>
        <item x="431"/>
        <item x="396"/>
        <item x="422"/>
        <item x="292"/>
        <item x="356"/>
        <item x="274"/>
        <item x="435"/>
        <item x="428"/>
        <item x="305"/>
        <item x="307"/>
        <item x="310"/>
        <item x="294"/>
        <item x="413"/>
        <item x="439"/>
        <item x="363"/>
        <item x="419"/>
        <item x="297"/>
        <item x="308"/>
        <item x="427"/>
        <item x="341"/>
        <item x="284"/>
        <item x="329"/>
        <item x="369"/>
        <item x="319"/>
        <item x="338"/>
        <item x="335"/>
        <item x="316"/>
        <item x="424"/>
        <item x="326"/>
        <item x="357"/>
        <item x="358"/>
        <item x="425"/>
        <item x="389"/>
        <item x="339"/>
        <item x="403"/>
        <item x="380"/>
        <item x="322"/>
        <item x="416"/>
        <item x="298"/>
        <item x="314"/>
        <item x="415"/>
        <item x="371"/>
        <item x="411"/>
        <item x="401"/>
        <item x="365"/>
        <item x="336"/>
        <item x="299"/>
        <item x="293"/>
        <item x="254"/>
        <item x="405"/>
        <item x="386"/>
        <item x="409"/>
        <item x="423"/>
        <item x="304"/>
        <item x="324"/>
        <item x="295"/>
        <item x="406"/>
        <item x="398"/>
        <item x="392"/>
        <item x="372"/>
        <item x="332"/>
        <item x="360"/>
        <item x="260"/>
        <item x="325"/>
        <item x="379"/>
        <item x="383"/>
        <item x="302"/>
        <item x="342"/>
        <item x="410"/>
        <item x="402"/>
        <item x="296"/>
        <item x="394"/>
        <item x="345"/>
        <item x="331"/>
        <item x="348"/>
        <item x="382"/>
        <item x="361"/>
        <item x="347"/>
        <item x="313"/>
        <item x="364"/>
        <item x="368"/>
        <item x="359"/>
        <item x="337"/>
        <item x="375"/>
        <item x="391"/>
        <item x="327"/>
        <item x="346"/>
        <item x="381"/>
        <item x="334"/>
        <item x="367"/>
        <item x="301"/>
        <item x="397"/>
        <item x="404"/>
        <item x="312"/>
        <item x="385"/>
        <item x="370"/>
        <item x="276"/>
        <item x="438"/>
        <item x="400"/>
        <item x="353"/>
        <item x="408"/>
        <item x="300"/>
        <item x="387"/>
        <item x="351"/>
        <item x="333"/>
        <item x="366"/>
        <item x="271"/>
        <item x="437"/>
        <item x="275"/>
        <item x="318"/>
        <item x="321"/>
        <item x="263"/>
        <item x="328"/>
        <item x="399"/>
        <item x="317"/>
        <item x="362"/>
        <item x="253"/>
        <item x="272"/>
        <item x="218"/>
        <item x="252"/>
        <item x="412"/>
        <item x="350"/>
        <item x="384"/>
        <item x="261"/>
        <item x="277"/>
        <item x="268"/>
        <item x="267"/>
        <item x="270"/>
        <item x="279"/>
        <item x="259"/>
        <item x="266"/>
        <item x="129"/>
        <item x="258"/>
        <item x="273"/>
        <item x="278"/>
        <item x="216"/>
        <item x="110"/>
        <item x="280"/>
        <item x="283"/>
        <item x="58"/>
        <item x="257"/>
        <item x="19"/>
        <item x="281"/>
        <item x="26"/>
        <item x="256"/>
        <item x="182"/>
        <item x="94"/>
        <item x="265"/>
        <item x="282"/>
        <item x="134"/>
        <item x="180"/>
        <item x="285"/>
        <item x="146"/>
        <item x="264"/>
        <item x="43"/>
        <item x="14"/>
        <item x="237"/>
        <item x="201"/>
        <item x="141"/>
        <item x="63"/>
        <item x="108"/>
        <item x="170"/>
        <item x="2"/>
        <item x="217"/>
        <item x="206"/>
        <item x="255"/>
        <item x="118"/>
        <item x="242"/>
        <item x="249"/>
        <item x="144"/>
        <item x="75"/>
        <item x="122"/>
        <item x="262"/>
        <item x="37"/>
        <item x="39"/>
        <item x="269"/>
        <item x="60"/>
        <item x="82"/>
        <item x="20"/>
        <item x="236"/>
        <item x="177"/>
        <item x="243"/>
        <item x="165"/>
        <item x="79"/>
        <item x="189"/>
        <item x="190"/>
        <item x="154"/>
        <item x="0"/>
        <item x="213"/>
        <item x="93"/>
        <item x="117"/>
        <item x="7"/>
        <item x="83"/>
        <item x="73"/>
        <item x="128"/>
        <item x="28"/>
        <item x="57"/>
        <item x="10"/>
        <item x="226"/>
        <item x="114"/>
        <item x="47"/>
        <item x="12"/>
        <item x="25"/>
        <item x="153"/>
        <item x="131"/>
        <item x="160"/>
        <item x="96"/>
        <item x="113"/>
        <item x="85"/>
        <item x="41"/>
        <item x="112"/>
        <item x="49"/>
        <item x="23"/>
        <item x="194"/>
        <item x="196"/>
        <item x="136"/>
        <item x="164"/>
        <item x="56"/>
        <item x="187"/>
        <item x="124"/>
        <item x="116"/>
        <item x="244"/>
        <item x="46"/>
        <item x="115"/>
        <item x="219"/>
        <item x="200"/>
        <item x="225"/>
        <item x="62"/>
        <item x="183"/>
        <item x="65"/>
        <item x="186"/>
        <item x="133"/>
        <item x="77"/>
        <item x="100"/>
        <item x="21"/>
        <item x="109"/>
        <item x="97"/>
        <item x="208"/>
        <item x="45"/>
        <item x="127"/>
        <item x="1"/>
        <item x="98"/>
        <item x="245"/>
        <item x="24"/>
        <item x="4"/>
        <item x="239"/>
        <item x="111"/>
        <item x="212"/>
        <item x="181"/>
        <item x="87"/>
        <item x="158"/>
        <item x="167"/>
        <item x="185"/>
        <item x="203"/>
        <item x="105"/>
        <item x="149"/>
        <item x="61"/>
        <item x="222"/>
        <item x="145"/>
        <item x="223"/>
        <item x="78"/>
        <item x="221"/>
        <item x="240"/>
        <item x="172"/>
        <item x="232"/>
        <item x="76"/>
        <item x="92"/>
        <item x="148"/>
        <item x="132"/>
        <item x="5"/>
        <item x="147"/>
        <item x="80"/>
        <item x="42"/>
        <item x="32"/>
        <item x="151"/>
        <item x="184"/>
        <item x="231"/>
        <item x="150"/>
        <item x="38"/>
        <item x="220"/>
        <item x="159"/>
        <item x="119"/>
        <item x="13"/>
        <item x="199"/>
        <item x="163"/>
        <item x="81"/>
        <item x="74"/>
        <item x="139"/>
        <item x="235"/>
        <item x="195"/>
        <item x="3"/>
        <item x="176"/>
        <item x="135"/>
        <item x="89"/>
        <item x="228"/>
        <item x="40"/>
        <item x="125"/>
        <item x="69"/>
        <item x="8"/>
        <item x="16"/>
        <item x="152"/>
        <item x="123"/>
        <item x="138"/>
        <item x="53"/>
        <item x="103"/>
        <item x="70"/>
        <item x="241"/>
        <item x="137"/>
        <item x="44"/>
        <item x="6"/>
        <item x="209"/>
        <item x="171"/>
        <item x="233"/>
        <item x="188"/>
        <item x="207"/>
        <item x="197"/>
        <item x="9"/>
        <item x="168"/>
        <item x="224"/>
        <item x="68"/>
        <item x="169"/>
        <item x="142"/>
        <item x="204"/>
        <item x="120"/>
        <item x="54"/>
        <item x="84"/>
        <item x="192"/>
        <item x="173"/>
        <item x="161"/>
        <item x="64"/>
        <item x="156"/>
        <item x="31"/>
        <item x="11"/>
        <item x="99"/>
        <item x="106"/>
        <item x="90"/>
        <item x="29"/>
        <item x="33"/>
        <item x="30"/>
        <item x="205"/>
        <item x="51"/>
        <item x="34"/>
        <item x="88"/>
        <item x="48"/>
        <item x="248"/>
        <item x="102"/>
        <item x="67"/>
        <item x="174"/>
        <item x="155"/>
        <item x="210"/>
        <item x="246"/>
        <item x="247"/>
        <item x="52"/>
        <item x="227"/>
        <item x="27"/>
        <item x="211"/>
        <item x="17"/>
        <item x="66"/>
        <item x="101"/>
        <item x="191"/>
        <item x="250"/>
        <item x="214"/>
        <item x="15"/>
        <item x="140"/>
        <item x="175"/>
        <item x="286"/>
        <item x="178"/>
        <item x="71"/>
        <item x="230"/>
        <item x="130"/>
        <item x="22"/>
        <item x="121"/>
        <item x="166"/>
        <item x="104"/>
        <item x="202"/>
        <item x="126"/>
        <item x="238"/>
        <item x="229"/>
        <item x="59"/>
        <item x="95"/>
        <item x="157"/>
        <item x="193"/>
        <item x="86"/>
        <item x="50"/>
        <item x="18"/>
        <item x="198"/>
        <item x="234"/>
        <item x="162"/>
        <item x="55"/>
        <item x="91"/>
        <item x="143"/>
        <item x="251"/>
        <item x="179"/>
        <item x="215"/>
        <item x="107"/>
        <item x="72"/>
        <item x="35"/>
        <item t="default"/>
      </items>
    </pivotField>
    <pivotField numFmtId="1" showAll="0">
      <items count="411">
        <item x="35"/>
        <item x="400"/>
        <item x="248"/>
        <item x="337"/>
        <item x="303"/>
        <item x="380"/>
        <item x="335"/>
        <item x="370"/>
        <item x="313"/>
        <item x="409"/>
        <item x="369"/>
        <item x="388"/>
        <item x="401"/>
        <item x="403"/>
        <item x="262"/>
        <item x="383"/>
        <item x="381"/>
        <item x="384"/>
        <item x="274"/>
        <item x="396"/>
        <item x="249"/>
        <item x="398"/>
        <item x="402"/>
        <item x="281"/>
        <item x="322"/>
        <item x="387"/>
        <item x="263"/>
        <item x="394"/>
        <item x="253"/>
        <item x="397"/>
        <item x="393"/>
        <item x="247"/>
        <item x="272"/>
        <item x="266"/>
        <item x="408"/>
        <item x="399"/>
        <item x="298"/>
        <item x="404"/>
        <item x="331"/>
        <item x="289"/>
        <item x="280"/>
        <item x="389"/>
        <item x="371"/>
        <item x="338"/>
        <item x="366"/>
        <item x="377"/>
        <item x="257"/>
        <item x="255"/>
        <item x="265"/>
        <item x="264"/>
        <item x="395"/>
        <item x="252"/>
        <item x="385"/>
        <item x="332"/>
        <item x="352"/>
        <item x="299"/>
        <item x="296"/>
        <item x="317"/>
        <item x="328"/>
        <item x="329"/>
        <item x="327"/>
        <item x="291"/>
        <item x="268"/>
        <item x="362"/>
        <item x="364"/>
        <item x="302"/>
        <item x="363"/>
        <item x="390"/>
        <item x="246"/>
        <item x="259"/>
        <item x="294"/>
        <item x="350"/>
        <item x="353"/>
        <item x="285"/>
        <item x="318"/>
        <item x="382"/>
        <item x="379"/>
        <item x="355"/>
        <item x="271"/>
        <item x="386"/>
        <item x="336"/>
        <item x="324"/>
        <item x="269"/>
        <item x="273"/>
        <item x="267"/>
        <item x="297"/>
        <item x="256"/>
        <item x="392"/>
        <item x="321"/>
        <item x="270"/>
        <item x="250"/>
        <item x="339"/>
        <item x="407"/>
        <item x="356"/>
        <item x="254"/>
        <item x="295"/>
        <item x="349"/>
        <item x="358"/>
        <item x="306"/>
        <item x="319"/>
        <item x="300"/>
        <item x="290"/>
        <item x="323"/>
        <item x="286"/>
        <item x="315"/>
        <item x="330"/>
        <item x="304"/>
        <item x="367"/>
        <item x="261"/>
        <item x="365"/>
        <item x="283"/>
        <item x="277"/>
        <item x="406"/>
        <item x="333"/>
        <item x="288"/>
        <item x="354"/>
        <item x="372"/>
        <item x="357"/>
        <item x="312"/>
        <item x="282"/>
        <item x="341"/>
        <item x="301"/>
        <item x="391"/>
        <item x="258"/>
        <item x="278"/>
        <item x="279"/>
        <item x="340"/>
        <item x="309"/>
        <item x="373"/>
        <item x="405"/>
        <item x="287"/>
        <item x="344"/>
        <item x="348"/>
        <item x="314"/>
        <item x="351"/>
        <item x="293"/>
        <item x="334"/>
        <item x="320"/>
        <item x="378"/>
        <item x="305"/>
        <item x="368"/>
        <item x="359"/>
        <item x="311"/>
        <item x="376"/>
        <item x="292"/>
        <item x="260"/>
        <item x="275"/>
        <item x="326"/>
        <item x="251"/>
        <item x="345"/>
        <item x="361"/>
        <item x="276"/>
        <item x="235"/>
        <item x="360"/>
        <item x="325"/>
        <item x="234"/>
        <item x="374"/>
        <item x="343"/>
        <item x="307"/>
        <item x="231"/>
        <item x="316"/>
        <item x="375"/>
        <item x="284"/>
        <item x="217"/>
        <item x="308"/>
        <item x="342"/>
        <item x="212"/>
        <item x="346"/>
        <item x="236"/>
        <item x="310"/>
        <item x="226"/>
        <item x="229"/>
        <item x="220"/>
        <item x="221"/>
        <item x="211"/>
        <item x="238"/>
        <item x="237"/>
        <item x="225"/>
        <item x="232"/>
        <item x="219"/>
        <item x="218"/>
        <item x="23"/>
        <item x="239"/>
        <item x="240"/>
        <item x="177"/>
        <item x="230"/>
        <item x="228"/>
        <item x="24"/>
        <item x="121"/>
        <item x="42"/>
        <item x="95"/>
        <item x="222"/>
        <item x="86"/>
        <item x="59"/>
        <item x="129"/>
        <item x="199"/>
        <item x="164"/>
        <item x="15"/>
        <item x="200"/>
        <item x="94"/>
        <item x="51"/>
        <item x="201"/>
        <item x="60"/>
        <item x="155"/>
        <item x="156"/>
        <item x="18"/>
        <item x="165"/>
        <item x="182"/>
        <item x="215"/>
        <item x="147"/>
        <item x="141"/>
        <item x="191"/>
        <item x="77"/>
        <item x="13"/>
        <item x="176"/>
        <item x="146"/>
        <item x="6"/>
        <item x="130"/>
        <item x="241"/>
        <item x="71"/>
        <item x="36"/>
        <item x="216"/>
        <item x="27"/>
        <item x="133"/>
        <item x="203"/>
        <item x="245"/>
        <item x="63"/>
        <item x="112"/>
        <item x="168"/>
        <item x="98"/>
        <item x="224"/>
        <item x="167"/>
        <item x="244"/>
        <item x="202"/>
        <item x="227"/>
        <item x="92"/>
        <item x="132"/>
        <item x="166"/>
        <item x="0"/>
        <item x="2"/>
        <item x="62"/>
        <item x="54"/>
        <item x="106"/>
        <item x="14"/>
        <item x="242"/>
        <item x="223"/>
        <item x="85"/>
        <item x="213"/>
        <item x="120"/>
        <item x="26"/>
        <item x="97"/>
        <item x="111"/>
        <item x="116"/>
        <item x="189"/>
        <item x="154"/>
        <item x="73"/>
        <item x="89"/>
        <item x="188"/>
        <item x="131"/>
        <item x="119"/>
        <item x="49"/>
        <item x="17"/>
        <item x="81"/>
        <item x="84"/>
        <item x="190"/>
        <item x="38"/>
        <item x="158"/>
        <item x="123"/>
        <item x="124"/>
        <item x="194"/>
        <item x="88"/>
        <item x="53"/>
        <item x="1"/>
        <item x="214"/>
        <item x="143"/>
        <item x="50"/>
        <item x="153"/>
        <item x="12"/>
        <item x="41"/>
        <item x="151"/>
        <item x="76"/>
        <item x="5"/>
        <item x="118"/>
        <item x="233"/>
        <item x="126"/>
        <item x="108"/>
        <item x="10"/>
        <item x="186"/>
        <item x="161"/>
        <item x="185"/>
        <item x="46"/>
        <item x="48"/>
        <item x="83"/>
        <item x="127"/>
        <item x="179"/>
        <item x="142"/>
        <item x="56"/>
        <item x="37"/>
        <item x="196"/>
        <item x="72"/>
        <item x="19"/>
        <item x="162"/>
        <item x="114"/>
        <item x="20"/>
        <item x="197"/>
        <item x="243"/>
        <item x="115"/>
        <item x="159"/>
        <item x="149"/>
        <item x="44"/>
        <item x="57"/>
        <item x="184"/>
        <item x="150"/>
        <item x="205"/>
        <item x="195"/>
        <item x="107"/>
        <item x="99"/>
        <item x="21"/>
        <item x="96"/>
        <item x="204"/>
        <item x="91"/>
        <item x="207"/>
        <item x="122"/>
        <item x="134"/>
        <item x="169"/>
        <item x="79"/>
        <item x="160"/>
        <item x="16"/>
        <item x="87"/>
        <item x="192"/>
        <item x="52"/>
        <item x="125"/>
        <item x="55"/>
        <item x="157"/>
        <item x="90"/>
        <item x="8"/>
        <item x="64"/>
        <item x="7"/>
        <item x="28"/>
        <item x="78"/>
        <item x="9"/>
        <item x="178"/>
        <item x="45"/>
        <item x="80"/>
        <item x="181"/>
        <item x="193"/>
        <item x="347"/>
        <item x="22"/>
        <item x="33"/>
        <item x="110"/>
        <item x="29"/>
        <item x="25"/>
        <item x="69"/>
        <item x="148"/>
        <item x="47"/>
        <item x="40"/>
        <item x="113"/>
        <item x="82"/>
        <item x="75"/>
        <item x="144"/>
        <item x="3"/>
        <item x="152"/>
        <item x="183"/>
        <item x="74"/>
        <item x="117"/>
        <item x="187"/>
        <item x="43"/>
        <item x="104"/>
        <item x="100"/>
        <item x="65"/>
        <item x="180"/>
        <item x="145"/>
        <item x="135"/>
        <item x="109"/>
        <item x="39"/>
        <item x="170"/>
        <item x="61"/>
        <item x="139"/>
        <item x="11"/>
        <item x="58"/>
        <item x="93"/>
        <item x="163"/>
        <item x="128"/>
        <item x="209"/>
        <item x="198"/>
        <item x="101"/>
        <item x="30"/>
        <item x="140"/>
        <item x="66"/>
        <item x="4"/>
        <item x="206"/>
        <item x="171"/>
        <item x="137"/>
        <item x="174"/>
        <item x="136"/>
        <item x="70"/>
        <item x="34"/>
        <item x="102"/>
        <item x="175"/>
        <item x="68"/>
        <item x="105"/>
        <item x="103"/>
        <item x="172"/>
        <item x="210"/>
        <item x="173"/>
        <item x="67"/>
        <item x="31"/>
        <item x="32"/>
        <item x="138"/>
        <item x="208"/>
        <item t="default"/>
      </items>
    </pivotField>
    <pivotField numFmtId="1" showAll="0"/>
    <pivotField numFmtId="1" showAll="0"/>
    <pivotField numFmtId="1" showAll="0"/>
    <pivotField numFmtId="1" multipleItemSelectionAllowed="1" showAll="0">
      <items count="414">
        <item x="35"/>
        <item x="299"/>
        <item x="354"/>
        <item x="333"/>
        <item x="364"/>
        <item x="324"/>
        <item x="390"/>
        <item x="395"/>
        <item x="329"/>
        <item x="404"/>
        <item x="322"/>
        <item x="270"/>
        <item x="408"/>
        <item x="399"/>
        <item x="397"/>
        <item x="258"/>
        <item x="278"/>
        <item x="271"/>
        <item x="358"/>
        <item x="396"/>
        <item x="392"/>
        <item x="295"/>
        <item x="394"/>
        <item x="372"/>
        <item x="410"/>
        <item x="400"/>
        <item x="352"/>
        <item x="407"/>
        <item x="406"/>
        <item x="380"/>
        <item x="274"/>
        <item x="280"/>
        <item x="350"/>
        <item x="287"/>
        <item x="291"/>
        <item x="342"/>
        <item x="403"/>
        <item x="310"/>
        <item x="288"/>
        <item x="385"/>
        <item x="369"/>
        <item x="378"/>
        <item x="405"/>
        <item x="284"/>
        <item x="301"/>
        <item x="279"/>
        <item x="409"/>
        <item x="315"/>
        <item x="346"/>
        <item x="401"/>
        <item x="289"/>
        <item x="349"/>
        <item x="285"/>
        <item x="320"/>
        <item x="355"/>
        <item x="383"/>
        <item x="292"/>
        <item x="389"/>
        <item x="286"/>
        <item x="311"/>
        <item x="402"/>
        <item x="309"/>
        <item x="393"/>
        <item x="318"/>
        <item x="332"/>
        <item x="312"/>
        <item x="343"/>
        <item x="377"/>
        <item x="305"/>
        <item x="384"/>
        <item x="363"/>
        <item x="307"/>
        <item x="325"/>
        <item x="319"/>
        <item x="276"/>
        <item x="323"/>
        <item x="293"/>
        <item x="373"/>
        <item x="366"/>
        <item x="337"/>
        <item x="348"/>
        <item x="236"/>
        <item x="317"/>
        <item x="281"/>
        <item x="368"/>
        <item x="253"/>
        <item x="381"/>
        <item x="277"/>
        <item x="298"/>
        <item x="300"/>
        <item x="245"/>
        <item x="316"/>
        <item x="244"/>
        <item x="326"/>
        <item x="308"/>
        <item x="296"/>
        <item x="371"/>
        <item x="412"/>
        <item x="341"/>
        <item x="347"/>
        <item x="261"/>
        <item x="353"/>
        <item x="290"/>
        <item x="321"/>
        <item x="391"/>
        <item x="335"/>
        <item x="283"/>
        <item x="339"/>
        <item x="255"/>
        <item x="379"/>
        <item x="370"/>
        <item x="246"/>
        <item x="303"/>
        <item x="374"/>
        <item x="275"/>
        <item x="314"/>
        <item x="202"/>
        <item x="240"/>
        <item x="411"/>
        <item x="252"/>
        <item x="345"/>
        <item x="331"/>
        <item x="330"/>
        <item x="272"/>
        <item x="398"/>
        <item x="338"/>
        <item x="302"/>
        <item x="367"/>
        <item x="376"/>
        <item x="263"/>
        <item x="273"/>
        <item x="362"/>
        <item x="294"/>
        <item x="105"/>
        <item x="340"/>
        <item x="119"/>
        <item x="23"/>
        <item x="359"/>
        <item x="356"/>
        <item x="388"/>
        <item x="224"/>
        <item x="386"/>
        <item x="123"/>
        <item x="361"/>
        <item x="250"/>
        <item x="114"/>
        <item x="242"/>
        <item x="159"/>
        <item x="59"/>
        <item x="41"/>
        <item x="365"/>
        <item x="334"/>
        <item x="259"/>
        <item x="110"/>
        <item x="328"/>
        <item x="5"/>
        <item x="75"/>
        <item x="186"/>
        <item x="387"/>
        <item x="351"/>
        <item x="140"/>
        <item x="238"/>
        <item x="126"/>
        <item x="382"/>
        <item x="336"/>
        <item x="304"/>
        <item x="254"/>
        <item x="157"/>
        <item x="327"/>
        <item x="360"/>
        <item x="256"/>
        <item x="190"/>
        <item x="18"/>
        <item x="282"/>
        <item x="1"/>
        <item x="96"/>
        <item x="247"/>
        <item x="357"/>
        <item x="92"/>
        <item x="121"/>
        <item x="249"/>
        <item x="117"/>
        <item x="81"/>
        <item x="313"/>
        <item x="88"/>
        <item x="181"/>
        <item x="55"/>
        <item x="297"/>
        <item x="109"/>
        <item x="19"/>
        <item x="26"/>
        <item x="83"/>
        <item x="210"/>
        <item x="153"/>
        <item x="24"/>
        <item x="84"/>
        <item x="37"/>
        <item x="90"/>
        <item x="46"/>
        <item x="177"/>
        <item x="375"/>
        <item x="47"/>
        <item x="344"/>
        <item x="127"/>
        <item x="93"/>
        <item x="17"/>
        <item x="251"/>
        <item x="220"/>
        <item x="111"/>
        <item x="57"/>
        <item x="188"/>
        <item x="267"/>
        <item x="184"/>
        <item x="151"/>
        <item x="21"/>
        <item x="155"/>
        <item x="306"/>
        <item x="79"/>
        <item x="53"/>
        <item x="260"/>
        <item x="86"/>
        <item x="13"/>
        <item x="45"/>
        <item x="222"/>
        <item x="145"/>
        <item x="14"/>
        <item x="71"/>
        <item x="9"/>
        <item x="2"/>
        <item x="116"/>
        <item x="269"/>
        <item x="262"/>
        <item x="7"/>
        <item x="241"/>
        <item x="103"/>
        <item x="107"/>
        <item x="77"/>
        <item x="80"/>
        <item x="113"/>
        <item x="112"/>
        <item x="27"/>
        <item x="62"/>
        <item x="11"/>
        <item x="72"/>
        <item x="160"/>
        <item x="144"/>
        <item x="118"/>
        <item x="95"/>
        <item x="211"/>
        <item x="120"/>
        <item x="136"/>
        <item x="193"/>
        <item x="82"/>
        <item x="176"/>
        <item x="213"/>
        <item x="235"/>
        <item x="12"/>
        <item x="227"/>
        <item x="180"/>
        <item x="146"/>
        <item x="48"/>
        <item x="179"/>
        <item x="212"/>
        <item x="115"/>
        <item x="183"/>
        <item x="150"/>
        <item x="10"/>
        <item x="89"/>
        <item x="43"/>
        <item x="50"/>
        <item x="16"/>
        <item x="52"/>
        <item x="49"/>
        <item x="178"/>
        <item x="20"/>
        <item x="264"/>
        <item x="56"/>
        <item x="170"/>
        <item x="148"/>
        <item x="137"/>
        <item x="243"/>
        <item x="70"/>
        <item x="0"/>
        <item x="217"/>
        <item x="38"/>
        <item x="147"/>
        <item x="169"/>
        <item x="221"/>
        <item x="265"/>
        <item x="194"/>
        <item x="143"/>
        <item x="228"/>
        <item x="237"/>
        <item x="218"/>
        <item x="28"/>
        <item x="149"/>
        <item x="248"/>
        <item x="204"/>
        <item x="63"/>
        <item x="36"/>
        <item x="208"/>
        <item x="128"/>
        <item x="214"/>
        <item x="239"/>
        <item x="15"/>
        <item x="182"/>
        <item x="215"/>
        <item x="124"/>
        <item x="106"/>
        <item x="51"/>
        <item x="3"/>
        <item x="39"/>
        <item x="73"/>
        <item x="171"/>
        <item x="138"/>
        <item x="85"/>
        <item x="216"/>
        <item x="219"/>
        <item x="161"/>
        <item x="266"/>
        <item x="60"/>
        <item x="76"/>
        <item x="22"/>
        <item x="154"/>
        <item x="54"/>
        <item x="152"/>
        <item x="225"/>
        <item x="191"/>
        <item x="91"/>
        <item x="192"/>
        <item x="125"/>
        <item x="94"/>
        <item x="108"/>
        <item x="257"/>
        <item x="187"/>
        <item x="130"/>
        <item x="122"/>
        <item x="78"/>
        <item x="201"/>
        <item x="61"/>
        <item x="185"/>
        <item x="168"/>
        <item x="8"/>
        <item x="206"/>
        <item x="198"/>
        <item x="232"/>
        <item x="29"/>
        <item x="25"/>
        <item x="158"/>
        <item x="134"/>
        <item x="223"/>
        <item x="132"/>
        <item x="42"/>
        <item x="6"/>
        <item x="104"/>
        <item x="189"/>
        <item x="97"/>
        <item x="234"/>
        <item x="87"/>
        <item x="58"/>
        <item x="65"/>
        <item x="98"/>
        <item x="156"/>
        <item x="142"/>
        <item x="44"/>
        <item x="175"/>
        <item x="209"/>
        <item x="141"/>
        <item x="135"/>
        <item x="230"/>
        <item x="64"/>
        <item x="131"/>
        <item x="67"/>
        <item x="30"/>
        <item x="207"/>
        <item x="40"/>
        <item x="231"/>
        <item x="174"/>
        <item x="129"/>
        <item x="268"/>
        <item x="139"/>
        <item x="205"/>
        <item x="162"/>
        <item x="203"/>
        <item x="74"/>
        <item x="32"/>
        <item x="226"/>
        <item x="100"/>
        <item x="33"/>
        <item x="163"/>
        <item x="133"/>
        <item x="4"/>
        <item x="200"/>
        <item x="195"/>
        <item x="196"/>
        <item x="167"/>
        <item x="165"/>
        <item x="172"/>
        <item x="69"/>
        <item x="173"/>
        <item x="164"/>
        <item x="102"/>
        <item x="34"/>
        <item x="99"/>
        <item x="197"/>
        <item x="66"/>
        <item x="31"/>
        <item x="68"/>
        <item x="229"/>
        <item x="166"/>
        <item x="101"/>
        <item x="233"/>
        <item x="199"/>
        <item t="default"/>
      </items>
    </pivotField>
    <pivotField numFmtId="1" multipleItemSelectionAllowed="1" showAll="0">
      <items count="387">
        <item x="37"/>
        <item x="290"/>
        <item x="311"/>
        <item x="325"/>
        <item x="295"/>
        <item x="321"/>
        <item x="340"/>
        <item x="312"/>
        <item x="385"/>
        <item x="303"/>
        <item x="296"/>
        <item x="322"/>
        <item x="343"/>
        <item x="359"/>
        <item x="379"/>
        <item x="331"/>
        <item x="301"/>
        <item x="339"/>
        <item x="308"/>
        <item x="293"/>
        <item x="327"/>
        <item x="265"/>
        <item x="382"/>
        <item x="370"/>
        <item x="375"/>
        <item x="371"/>
        <item x="320"/>
        <item x="306"/>
        <item x="380"/>
        <item x="345"/>
        <item x="381"/>
        <item x="362"/>
        <item x="332"/>
        <item x="372"/>
        <item x="302"/>
        <item x="351"/>
        <item x="378"/>
        <item x="231"/>
        <item x="377"/>
        <item x="344"/>
        <item x="313"/>
        <item x="367"/>
        <item x="298"/>
        <item x="324"/>
        <item x="323"/>
        <item x="316"/>
        <item x="349"/>
        <item x="294"/>
        <item x="338"/>
        <item x="347"/>
        <item x="96"/>
        <item x="328"/>
        <item x="299"/>
        <item x="318"/>
        <item x="373"/>
        <item x="300"/>
        <item x="376"/>
        <item x="279"/>
        <item x="304"/>
        <item x="363"/>
        <item x="348"/>
        <item x="353"/>
        <item x="267"/>
        <item x="383"/>
        <item x="271"/>
        <item x="317"/>
        <item x="341"/>
        <item x="365"/>
        <item x="374"/>
        <item x="278"/>
        <item x="355"/>
        <item x="297"/>
        <item x="335"/>
        <item x="361"/>
        <item x="310"/>
        <item x="364"/>
        <item x="356"/>
        <item x="288"/>
        <item x="366"/>
        <item x="283"/>
        <item x="307"/>
        <item x="59"/>
        <item x="132"/>
        <item x="329"/>
        <item x="58"/>
        <item x="384"/>
        <item x="259"/>
        <item x="314"/>
        <item x="368"/>
        <item x="291"/>
        <item x="336"/>
        <item x="330"/>
        <item x="309"/>
        <item x="319"/>
        <item x="342"/>
        <item x="270"/>
        <item x="333"/>
        <item x="369"/>
        <item x="350"/>
        <item x="281"/>
        <item x="286"/>
        <item x="272"/>
        <item x="358"/>
        <item x="352"/>
        <item x="258"/>
        <item x="269"/>
        <item x="305"/>
        <item x="354"/>
        <item x="326"/>
        <item x="315"/>
        <item x="346"/>
        <item x="292"/>
        <item x="334"/>
        <item x="337"/>
        <item x="357"/>
        <item x="44"/>
        <item x="157"/>
        <item x="175"/>
        <item x="241"/>
        <item x="139"/>
        <item x="282"/>
        <item x="280"/>
        <item x="360"/>
        <item x="137"/>
        <item x="285"/>
        <item x="275"/>
        <item x="264"/>
        <item x="66"/>
        <item x="26"/>
        <item x="40"/>
        <item x="212"/>
        <item x="284"/>
        <item x="85"/>
        <item x="276"/>
        <item x="210"/>
        <item x="28"/>
        <item x="274"/>
        <item x="262"/>
        <item x="6"/>
        <item x="249"/>
        <item x="261"/>
        <item x="287"/>
        <item x="257"/>
        <item x="121"/>
        <item x="223"/>
        <item x="173"/>
        <item x="38"/>
        <item x="263"/>
        <item x="64"/>
        <item x="194"/>
        <item x="247"/>
        <item x="260"/>
        <item x="113"/>
        <item x="125"/>
        <item x="200"/>
        <item x="266"/>
        <item x="191"/>
        <item x="277"/>
        <item x="103"/>
        <item x="168"/>
        <item x="61"/>
        <item x="268"/>
        <item x="77"/>
        <item x="289"/>
        <item x="13"/>
        <item x="101"/>
        <item x="81"/>
        <item x="149"/>
        <item x="62"/>
        <item x="252"/>
        <item x="163"/>
        <item x="99"/>
        <item x="222"/>
        <item x="205"/>
        <item x="186"/>
        <item x="245"/>
        <item x="48"/>
        <item x="91"/>
        <item x="2"/>
        <item x="63"/>
        <item x="16"/>
        <item x="54"/>
        <item x="8"/>
        <item x="45"/>
        <item x="221"/>
        <item x="47"/>
        <item x="24"/>
        <item x="236"/>
        <item x="184"/>
        <item x="235"/>
        <item x="10"/>
        <item x="201"/>
        <item x="127"/>
        <item x="111"/>
        <item x="147"/>
        <item x="14"/>
        <item x="11"/>
        <item x="108"/>
        <item x="46"/>
        <item x="238"/>
        <item x="25"/>
        <item x="100"/>
        <item x="134"/>
        <item x="199"/>
        <item x="115"/>
        <item x="122"/>
        <item x="162"/>
        <item x="151"/>
        <item x="42"/>
        <item x="112"/>
        <item x="233"/>
        <item x="237"/>
        <item x="188"/>
        <item x="15"/>
        <item x="248"/>
        <item x="120"/>
        <item x="98"/>
        <item x="130"/>
        <item x="116"/>
        <item x="133"/>
        <item x="171"/>
        <item x="12"/>
        <item x="75"/>
        <item x="53"/>
        <item x="228"/>
        <item x="128"/>
        <item x="87"/>
        <item x="33"/>
        <item x="69"/>
        <item x="229"/>
        <item x="196"/>
        <item x="114"/>
        <item x="84"/>
        <item x="82"/>
        <item x="211"/>
        <item x="49"/>
        <item x="90"/>
        <item x="230"/>
        <item x="138"/>
        <item x="9"/>
        <item x="225"/>
        <item x="7"/>
        <item x="195"/>
        <item x="164"/>
        <item x="39"/>
        <item x="155"/>
        <item x="208"/>
        <item x="50"/>
        <item x="242"/>
        <item x="118"/>
        <item x="159"/>
        <item x="144"/>
        <item x="21"/>
        <item x="123"/>
        <item x="224"/>
        <item x="174"/>
        <item x="106"/>
        <item x="207"/>
        <item x="170"/>
        <item x="244"/>
        <item x="232"/>
        <item x="95"/>
        <item x="198"/>
        <item x="141"/>
        <item x="51"/>
        <item x="158"/>
        <item x="135"/>
        <item x="22"/>
        <item x="219"/>
        <item x="148"/>
        <item x="143"/>
        <item x="31"/>
        <item x="142"/>
        <item x="5"/>
        <item x="83"/>
        <item x="78"/>
        <item x="152"/>
        <item x="169"/>
        <item x="60"/>
        <item x="117"/>
        <item x="254"/>
        <item x="177"/>
        <item x="220"/>
        <item x="86"/>
        <item x="124"/>
        <item x="97"/>
        <item x="183"/>
        <item x="68"/>
        <item x="161"/>
        <item x="185"/>
        <item x="119"/>
        <item x="3"/>
        <item x="79"/>
        <item x="1"/>
        <item x="41"/>
        <item x="30"/>
        <item x="215"/>
        <item x="178"/>
        <item x="88"/>
        <item x="251"/>
        <item x="197"/>
        <item x="80"/>
        <item x="214"/>
        <item x="192"/>
        <item x="19"/>
        <item x="203"/>
        <item x="187"/>
        <item x="107"/>
        <item x="226"/>
        <item x="4"/>
        <item x="176"/>
        <item x="153"/>
        <item x="17"/>
        <item x="0"/>
        <item x="250"/>
        <item x="160"/>
        <item x="92"/>
        <item x="154"/>
        <item x="57"/>
        <item x="43"/>
        <item x="246"/>
        <item x="166"/>
        <item x="70"/>
        <item x="76"/>
        <item x="131"/>
        <item x="234"/>
        <item x="55"/>
        <item x="253"/>
        <item x="204"/>
        <item x="20"/>
        <item x="240"/>
        <item x="182"/>
        <item x="136"/>
        <item x="190"/>
        <item x="179"/>
        <item x="273"/>
        <item x="189"/>
        <item x="36"/>
        <item x="213"/>
        <item x="126"/>
        <item x="23"/>
        <item x="243"/>
        <item x="180"/>
        <item x="73"/>
        <item x="105"/>
        <item x="206"/>
        <item x="74"/>
        <item x="71"/>
        <item x="67"/>
        <item x="227"/>
        <item x="150"/>
        <item x="102"/>
        <item x="94"/>
        <item x="193"/>
        <item x="140"/>
        <item x="167"/>
        <item x="216"/>
        <item x="65"/>
        <item x="255"/>
        <item x="217"/>
        <item x="256"/>
        <item x="72"/>
        <item x="145"/>
        <item x="27"/>
        <item x="209"/>
        <item x="146"/>
        <item x="172"/>
        <item x="104"/>
        <item x="181"/>
        <item x="29"/>
        <item x="18"/>
        <item x="32"/>
        <item x="218"/>
        <item x="93"/>
        <item x="156"/>
        <item x="109"/>
        <item x="56"/>
        <item x="110"/>
        <item x="34"/>
        <item x="89"/>
        <item x="52"/>
        <item x="129"/>
        <item x="202"/>
        <item x="165"/>
        <item x="239"/>
        <item x="35"/>
        <item t="default"/>
      </items>
    </pivotField>
    <pivotField numFmtId="1" showAll="0"/>
    <pivotField numFmtId="14" showAll="0"/>
    <pivotField dataField="1" numFmtId="1" multipleItemSelectionAllowed="1" showAll="0">
      <items count="490">
        <item x="302"/>
        <item x="329"/>
        <item x="306"/>
        <item x="455"/>
        <item x="478"/>
        <item x="487"/>
        <item x="366"/>
        <item x="404"/>
        <item x="442"/>
        <item x="364"/>
        <item x="463"/>
        <item x="479"/>
        <item x="476"/>
        <item x="458"/>
        <item x="389"/>
        <item x="456"/>
        <item x="402"/>
        <item x="351"/>
        <item x="462"/>
        <item x="466"/>
        <item x="304"/>
        <item x="474"/>
        <item x="459"/>
        <item x="380"/>
        <item x="305"/>
        <item x="470"/>
        <item x="481"/>
        <item x="315"/>
        <item x="475"/>
        <item x="464"/>
        <item x="480"/>
        <item x="471"/>
        <item x="324"/>
        <item x="477"/>
        <item x="482"/>
        <item x="341"/>
        <item x="440"/>
        <item x="322"/>
        <item x="472"/>
        <item x="443"/>
        <item x="423"/>
        <item x="320"/>
        <item x="437"/>
        <item x="342"/>
        <item x="465"/>
        <item x="338"/>
        <item x="426"/>
        <item x="461"/>
        <item x="473"/>
        <item x="454"/>
        <item x="399"/>
        <item x="360"/>
        <item x="398"/>
        <item x="405"/>
        <item x="310"/>
        <item x="417"/>
        <item x="418"/>
        <item x="436"/>
        <item x="326"/>
        <item x="361"/>
        <item x="485"/>
        <item x="379"/>
        <item x="323"/>
        <item x="358"/>
        <item x="312"/>
        <item x="325"/>
        <item x="432"/>
        <item x="356"/>
        <item x="469"/>
        <item x="460"/>
        <item x="314"/>
        <item x="486"/>
        <item x="353"/>
        <item x="391"/>
        <item x="362"/>
        <item x="394"/>
        <item x="346"/>
        <item x="457"/>
        <item x="328"/>
        <item x="400"/>
        <item x="348"/>
        <item x="451"/>
        <item x="359"/>
        <item x="331"/>
        <item x="333"/>
        <item x="438"/>
        <item x="428"/>
        <item x="425"/>
        <item x="384"/>
        <item x="395"/>
        <item x="396"/>
        <item x="313"/>
        <item x="420"/>
        <item x="367"/>
        <item x="433"/>
        <item x="467"/>
        <item x="386"/>
        <item x="365"/>
        <item x="441"/>
        <item x="403"/>
        <item x="397"/>
        <item x="330"/>
        <item x="321"/>
        <item x="424"/>
        <item x="468"/>
        <item x="327"/>
        <item x="388"/>
        <item x="452"/>
        <item x="434"/>
        <item x="357"/>
        <item x="435"/>
        <item x="316"/>
        <item x="307"/>
        <item x="343"/>
        <item x="408"/>
        <item x="311"/>
        <item x="334"/>
        <item x="340"/>
        <item x="350"/>
        <item x="421"/>
        <item x="332"/>
        <item x="385"/>
        <item x="289"/>
        <item x="406"/>
        <item x="319"/>
        <item x="446"/>
        <item x="422"/>
        <item x="355"/>
        <item x="416"/>
        <item x="450"/>
        <item x="444"/>
        <item x="378"/>
        <item x="308"/>
        <item x="382"/>
        <item x="413"/>
        <item x="344"/>
        <item x="374"/>
        <item x="390"/>
        <item x="309"/>
        <item x="337"/>
        <item x="393"/>
        <item x="352"/>
        <item x="381"/>
        <item x="483"/>
        <item x="370"/>
        <item x="419"/>
        <item x="431"/>
        <item x="427"/>
        <item x="484"/>
        <item x="290"/>
        <item x="449"/>
        <item x="318"/>
        <item x="375"/>
        <item x="317"/>
        <item x="411"/>
        <item x="369"/>
        <item x="368"/>
        <item x="445"/>
        <item x="363"/>
        <item x="412"/>
        <item x="286"/>
        <item x="336"/>
        <item x="383"/>
        <item x="354"/>
        <item x="430"/>
        <item x="401"/>
        <item x="407"/>
        <item x="392"/>
        <item x="371"/>
        <item x="347"/>
        <item x="439"/>
        <item x="275"/>
        <item x="267"/>
        <item x="291"/>
        <item x="429"/>
        <item x="387"/>
        <item x="276"/>
        <item x="335"/>
        <item x="135"/>
        <item x="345"/>
        <item x="410"/>
        <item x="372"/>
        <item x="448"/>
        <item x="409"/>
        <item x="373"/>
        <item x="447"/>
        <item x="303"/>
        <item x="292"/>
        <item x="266"/>
        <item x="287"/>
        <item x="281"/>
        <item x="349"/>
        <item x="116"/>
        <item x="339"/>
        <item x="294"/>
        <item x="272"/>
        <item x="140"/>
        <item x="283"/>
        <item x="293"/>
        <item x="273"/>
        <item x="274"/>
        <item x="271"/>
        <item x="280"/>
        <item x="376"/>
        <item x="285"/>
        <item x="295"/>
        <item x="124"/>
        <item x="114"/>
        <item x="278"/>
        <item x="268"/>
        <item x="128"/>
        <item x="282"/>
        <item x="229"/>
        <item x="270"/>
        <item x="299"/>
        <item x="296"/>
        <item x="97"/>
        <item x="488"/>
        <item x="26"/>
        <item x="277"/>
        <item x="44"/>
        <item x="150"/>
        <item x="228"/>
        <item x="300"/>
        <item x="284"/>
        <item x="64"/>
        <item x="190"/>
        <item x="216"/>
        <item x="147"/>
        <item x="61"/>
        <item x="178"/>
        <item x="297"/>
        <item x="414"/>
        <item x="123"/>
        <item x="137"/>
        <item x="254"/>
        <item x="192"/>
        <item x="142"/>
        <item x="226"/>
        <item x="279"/>
        <item x="453"/>
        <item x="2"/>
        <item x="119"/>
        <item x="59"/>
        <item x="120"/>
        <item x="134"/>
        <item x="288"/>
        <item x="38"/>
        <item x="377"/>
        <item x="154"/>
        <item x="130"/>
        <item x="188"/>
        <item x="78"/>
        <item x="269"/>
        <item x="102"/>
        <item x="14"/>
        <item x="298"/>
        <item x="112"/>
        <item x="82"/>
        <item x="40"/>
        <item x="115"/>
        <item x="255"/>
        <item x="151"/>
        <item x="19"/>
        <item x="76"/>
        <item x="133"/>
        <item x="162"/>
        <item x="264"/>
        <item x="152"/>
        <item x="122"/>
        <item x="99"/>
        <item x="36"/>
        <item x="121"/>
        <item x="86"/>
        <item x="23"/>
        <item x="173"/>
        <item x="200"/>
        <item x="211"/>
        <item x="117"/>
        <item x="100"/>
        <item x="248"/>
        <item x="204"/>
        <item x="230"/>
        <item x="37"/>
        <item x="238"/>
        <item x="24"/>
        <item x="74"/>
        <item x="0"/>
        <item x="139"/>
        <item x="10"/>
        <item x="48"/>
        <item x="138"/>
        <item x="125"/>
        <item x="249"/>
        <item x="415"/>
        <item x="58"/>
        <item x="251"/>
        <item x="252"/>
        <item x="62"/>
        <item x="131"/>
        <item x="227"/>
        <item x="141"/>
        <item x="75"/>
        <item x="175"/>
        <item x="168"/>
        <item x="237"/>
        <item x="213"/>
        <item x="20"/>
        <item x="167"/>
        <item x="85"/>
        <item x="96"/>
        <item x="28"/>
        <item x="196"/>
        <item x="129"/>
        <item x="199"/>
        <item x="113"/>
        <item x="145"/>
        <item x="1"/>
        <item x="189"/>
        <item x="256"/>
        <item x="13"/>
        <item x="12"/>
        <item x="50"/>
        <item x="243"/>
        <item x="104"/>
        <item x="206"/>
        <item x="205"/>
        <item x="231"/>
        <item x="157"/>
        <item x="144"/>
        <item x="265"/>
        <item x="7"/>
        <item x="166"/>
        <item x="234"/>
        <item x="118"/>
        <item x="218"/>
        <item x="21"/>
        <item x="210"/>
        <item x="66"/>
        <item x="81"/>
        <item x="47"/>
        <item x="126"/>
        <item x="191"/>
        <item x="172"/>
        <item x="101"/>
        <item x="57"/>
        <item x="5"/>
        <item x="46"/>
        <item x="195"/>
        <item x="180"/>
        <item x="6"/>
        <item x="25"/>
        <item x="153"/>
        <item x="158"/>
        <item x="39"/>
        <item x="43"/>
        <item x="88"/>
        <item x="240"/>
        <item x="161"/>
        <item x="179"/>
        <item x="197"/>
        <item x="148"/>
        <item x="214"/>
        <item x="143"/>
        <item x="244"/>
        <item x="217"/>
        <item x="77"/>
        <item x="253"/>
        <item x="176"/>
        <item x="207"/>
        <item x="301"/>
        <item x="91"/>
        <item x="42"/>
        <item x="63"/>
        <item x="209"/>
        <item x="247"/>
        <item x="92"/>
        <item x="193"/>
        <item x="83"/>
        <item x="95"/>
        <item x="169"/>
        <item x="171"/>
        <item x="16"/>
        <item x="257"/>
        <item x="53"/>
        <item x="54"/>
        <item x="235"/>
        <item x="8"/>
        <item x="65"/>
        <item x="84"/>
        <item x="202"/>
        <item x="185"/>
        <item x="80"/>
        <item x="164"/>
        <item x="233"/>
        <item x="177"/>
        <item x="79"/>
        <item x="103"/>
        <item x="55"/>
        <item x="146"/>
        <item x="15"/>
        <item x="9"/>
        <item x="160"/>
        <item x="93"/>
        <item x="245"/>
        <item x="3"/>
        <item x="159"/>
        <item x="155"/>
        <item x="215"/>
        <item x="261"/>
        <item x="45"/>
        <item x="41"/>
        <item x="136"/>
        <item x="90"/>
        <item x="198"/>
        <item x="236"/>
        <item x="27"/>
        <item x="87"/>
        <item x="17"/>
        <item x="127"/>
        <item x="4"/>
        <item x="109"/>
        <item x="49"/>
        <item x="11"/>
        <item x="259"/>
        <item x="163"/>
        <item x="242"/>
        <item x="156"/>
        <item x="33"/>
        <item x="219"/>
        <item x="71"/>
        <item x="239"/>
        <item x="232"/>
        <item x="223"/>
        <item x="194"/>
        <item x="181"/>
        <item x="201"/>
        <item x="29"/>
        <item x="107"/>
        <item x="52"/>
        <item x="222"/>
        <item x="30"/>
        <item x="68"/>
        <item x="106"/>
        <item x="70"/>
        <item x="22"/>
        <item x="220"/>
        <item x="67"/>
        <item x="241"/>
        <item x="69"/>
        <item x="182"/>
        <item x="105"/>
        <item x="184"/>
        <item x="258"/>
        <item x="31"/>
        <item x="110"/>
        <item x="183"/>
        <item x="221"/>
        <item x="32"/>
        <item x="132"/>
        <item x="51"/>
        <item x="165"/>
        <item x="89"/>
        <item x="203"/>
        <item x="34"/>
        <item x="174"/>
        <item x="186"/>
        <item x="72"/>
        <item x="262"/>
        <item x="224"/>
        <item x="212"/>
        <item x="260"/>
        <item x="60"/>
        <item x="18"/>
        <item x="250"/>
        <item x="108"/>
        <item x="98"/>
        <item x="56"/>
        <item x="94"/>
        <item x="170"/>
        <item x="208"/>
        <item x="246"/>
        <item x="149"/>
        <item x="263"/>
        <item x="187"/>
        <item x="225"/>
        <item x="111"/>
        <item x="73"/>
        <item x="35"/>
        <item t="default"/>
      </items>
    </pivotField>
  </pivotFields>
  <rowFields count="1">
    <field x="1"/>
  </rowFields>
  <rowItems count="11">
    <i>
      <x v="26"/>
    </i>
    <i>
      <x v="8"/>
    </i>
    <i>
      <x v="19"/>
    </i>
    <i>
      <x v="47"/>
    </i>
    <i>
      <x v="48"/>
    </i>
    <i>
      <x v="22"/>
    </i>
    <i>
      <x v="36"/>
    </i>
    <i>
      <x v="27"/>
    </i>
    <i>
      <x v="1"/>
    </i>
    <i>
      <x v="28"/>
    </i>
    <i t="grand">
      <x/>
    </i>
  </rowItems>
  <colItems count="1">
    <i/>
  </colItems>
  <dataFields count="1">
    <dataField name="Suma de todos los Servicios " fld="11" baseField="0" baseItem="0" numFmtId="1"/>
  </dataFields>
  <chartFormats count="22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2" format="3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2" format="4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2" format="5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2" format="6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2" format="7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2" format="8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2" format="9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2" format="10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2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23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10" format="24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10" format="25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10" format="26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10" format="27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10" format="28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10" format="29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10" format="30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10" format="3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10" format="32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1" type="count" evalOrder="-1" id="1" iMeasureFld="0">
      <autoFilter ref="A1">
        <filterColumn colId="0">
          <top10 val="10" filterVal="10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231237-FEAB-409D-B0B0-7D68E8795616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2">
  <location ref="A7:B16" firstHeaderRow="1" firstDataRow="1" firstDataCol="1"/>
  <pivotFields count="2">
    <pivotField axis="axisRow" showAll="0" sortType="descending">
      <items count="9">
        <item x="7"/>
        <item x="4"/>
        <item x="2"/>
        <item x="3"/>
        <item x="1"/>
        <item x="6"/>
        <item x="0"/>
        <item x="5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numFmtId="1" showAll="0"/>
  </pivotFields>
  <rowFields count="1">
    <field x="0"/>
  </rowFields>
  <rowItems count="9">
    <i>
      <x v="6"/>
    </i>
    <i>
      <x v="4"/>
    </i>
    <i>
      <x v="5"/>
    </i>
    <i>
      <x v="1"/>
    </i>
    <i>
      <x v="7"/>
    </i>
    <i>
      <x v="2"/>
    </i>
    <i>
      <x/>
    </i>
    <i>
      <x v="3"/>
    </i>
    <i t="grand">
      <x/>
    </i>
  </rowItems>
  <colItems count="1">
    <i/>
  </colItems>
  <dataFields count="1">
    <dataField name="Suma de Total de cada servicio" fld="1" baseField="0" baseItem="0" numFmtId="1"/>
  </dataFields>
  <chartFormats count="18">
    <chartFormat chart="6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4" format="1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14" format="1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14" format="1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14" format="1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14" format="1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14" format="1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14" format="1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14" format="1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  <chartFormat chart="6" format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6"/>
          </reference>
        </references>
      </pivotArea>
    </chartFormat>
    <chartFormat chart="6" format="2">
      <pivotArea type="data" outline="0" fieldPosition="0">
        <references count="2">
          <reference field="4294967294" count="1" selected="0">
            <x v="0"/>
          </reference>
          <reference field="0" count="1" selected="0">
            <x v="4"/>
          </reference>
        </references>
      </pivotArea>
    </chartFormat>
    <chartFormat chart="6" format="3">
      <pivotArea type="data" outline="0" fieldPosition="0">
        <references count="2">
          <reference field="4294967294" count="1" selected="0">
            <x v="0"/>
          </reference>
          <reference field="0" count="1" selected="0">
            <x v="5"/>
          </reference>
        </references>
      </pivotArea>
    </chartFormat>
    <chartFormat chart="6" format="4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6" format="5">
      <pivotArea type="data" outline="0" fieldPosition="0">
        <references count="2">
          <reference field="4294967294" count="1" selected="0">
            <x v="0"/>
          </reference>
          <reference field="0" count="1" selected="0">
            <x v="7"/>
          </reference>
        </references>
      </pivotArea>
    </chartFormat>
    <chartFormat chart="6" format="6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6" format="7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6" format="8">
      <pivotArea type="data" outline="0" fieldPosition="0">
        <references count="2">
          <reference field="4294967294" count="1" selected="0">
            <x v="0"/>
          </reference>
          <reference field="0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Oficina_Representación" xr10:uid="{AD63CEBF-F0BD-4A81-918C-8B57CD635B8C}" sourceName="Oficina Representación">
  <pivotTables>
    <pivotTable tabId="2" name="ServiciosDeportivosPorAño"/>
    <pivotTable tabId="3" name="ComparaciónEntreServiciosCulturalesVsDeportivosVsSociales"/>
  </pivotTables>
  <data>
    <tabular pivotCacheId="747248475">
      <items count="49">
        <i x="0"/>
        <i x="38"/>
        <i x="1"/>
        <i x="39"/>
        <i x="2"/>
        <i x="3"/>
        <i x="6"/>
        <i x="7"/>
        <i x="4"/>
        <i x="5"/>
        <i x="44"/>
        <i x="36"/>
        <i x="45"/>
        <i x="47"/>
        <i x="48"/>
        <i x="46"/>
        <i x="8"/>
        <i x="9"/>
        <i x="10"/>
        <i x="11" s="1"/>
        <i x="37"/>
        <i x="12"/>
        <i x="13"/>
        <i x="14"/>
        <i x="15"/>
        <i x="16"/>
        <i x="17"/>
        <i x="18"/>
        <i x="35"/>
        <i x="19"/>
        <i x="20"/>
        <i x="21"/>
        <i x="40"/>
        <i x="42"/>
        <i x="43"/>
        <i x="41"/>
        <i x="22"/>
        <i x="23"/>
        <i x="24"/>
        <i x="31"/>
        <i x="33"/>
        <i x="34"/>
        <i x="32"/>
        <i x="25"/>
        <i x="26"/>
        <i x="27"/>
        <i x="28"/>
        <i x="29"/>
        <i x="3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4B666C5E-0CC9-4F13-B857-91F1AD068EF3}" sourceName="Año">
  <pivotTables>
    <pivotTable tabId="4" name="RankingDeDelegaciones"/>
    <pivotTable tabId="3" name="ComparaciónEntreServiciosCulturalesVsDeportivosVsSociales"/>
  </pivotTables>
  <data>
    <tabular pivotCacheId="747248475">
      <items count="13">
        <i x="0" s="1"/>
        <i x="1" s="1"/>
        <i x="2" s="1"/>
        <i x="3" s="1"/>
        <i x="4" s="1"/>
        <i x="5" s="1"/>
        <i x="6" s="1"/>
        <i x="7" s="1"/>
        <i x="8" s="1"/>
        <i x="9" s="1"/>
        <i x="10" s="1"/>
        <i x="11" s="1"/>
        <i x="1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Oficina Representación" xr10:uid="{0C780604-6BF9-43A0-ABB5-6ACF2D70C2C7}" cache="SegmentaciónDeDatos_Oficina_Representación" caption="Oficina Representación" startItem="13" rowHeight="234950"/>
  <slicer name="Año" xr10:uid="{0E312A47-3608-45BD-9A90-F091450EC507}" cache="SegmentaciónDeDatos_Año" caption="Año" startItem="5" rowHeight="2349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1004CAF-B0EE-4A4F-99F5-2C4E7F69B1DF}" name="Tabla1" displayName="Tabla1" ref="A1:L495" totalsRowShown="0">
  <autoFilter ref="A1:L495" xr:uid="{01004CAF-B0EE-4A4F-99F5-2C4E7F69B1DF}"/>
  <sortState xmlns:xlrd2="http://schemas.microsoft.com/office/spreadsheetml/2017/richdata2" ref="A2:L495">
    <sortCondition descending="1" ref="L1:L495"/>
  </sortState>
  <tableColumns count="12">
    <tableColumn id="1" xr3:uid="{E00903E2-5B95-4A2E-B89D-5B0052D7F544}" name="Año" dataDxfId="12"/>
    <tableColumn id="2" xr3:uid="{6015B546-CCE8-49F7-AD82-A56721BEB06D}" name="Oficina Representación"/>
    <tableColumn id="3" xr3:uid="{6C24FA5D-647C-4DF8-A6EA-66A6E6528CE5}" name="Serv. Culturales Derecho Hab Publ" dataDxfId="11"/>
    <tableColumn id="4" xr3:uid="{5625FA80-061B-464D-B123-C974C04DA294}" name="Serv. Deportivos Derecho Hab Publ" dataDxfId="10"/>
    <tableColumn id="5" xr3:uid="{24DE0E05-24AF-4FCC-9633-B84A75B97D9A}" name="Serv. Sociales Derecho Hab Publ" dataDxfId="9"/>
    <tableColumn id="6" xr3:uid="{2AC1C74A-7627-48C3-AC0B-15FBB8351EE0}" name="Serv. Funerarios Derecho Hab Publ" dataDxfId="8"/>
    <tableColumn id="7" xr3:uid="{3E1E2BD6-8333-4561-B9F1-248EFBB7920E}" name="Serv. Sociales Pensionados Jubl" dataDxfId="7"/>
    <tableColumn id="8" xr3:uid="{2AC1B96B-1C99-43AF-AFED-47F1F4C408FD}" name="Fome Deportivo Pensionados Jubl" dataDxfId="6"/>
    <tableColumn id="9" xr3:uid="{E70B6682-15CA-4E92-BD60-818587E36A59}" name="Serv. Culturales Pensionados Jubl" dataDxfId="5"/>
    <tableColumn id="10" xr3:uid="{08067B72-2814-4712-B380-BB03A667992C}" name="Soci Comedores Pensionados Jubl" dataDxfId="4"/>
    <tableColumn id="11" xr3:uid="{230A8DA6-C4FF-44BE-9A39-A60006ECF43E}" name="Fecha" dataDxfId="3"/>
    <tableColumn id="12" xr3:uid="{859920B6-B83D-4724-917B-E5C66D0C0364}" name="Suma de todos los Servicios" dataDxfId="2">
      <calculatedColumnFormula>SUM(Tabla1[[#This Row],[Serv. Culturales Derecho Hab Publ]:[Soci Comedores Pensionados Jubl]])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3BA7B8-89FD-4590-985A-D669DB928326}" name="Tabla3" displayName="Tabla3" ref="B505:C513" totalsRowShown="0">
  <autoFilter ref="B505:C513" xr:uid="{943BA7B8-89FD-4590-985A-D669DB928326}"/>
  <tableColumns count="2">
    <tableColumn id="1" xr3:uid="{52308A83-3E58-4597-85E5-390E9550E560}" name="Nombre Servicio" dataDxfId="1"/>
    <tableColumn id="2" xr3:uid="{DDDD0592-6492-4A2A-BC52-9B55A82E2E0F}" name="Total de cada servici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3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49743-C6BA-4379-8C03-655115C7A180}">
  <dimension ref="A1:SE538"/>
  <sheetViews>
    <sheetView topLeftCell="A486" workbookViewId="0">
      <selection activeCell="D505" sqref="D505"/>
    </sheetView>
  </sheetViews>
  <sheetFormatPr baseColWidth="10" defaultRowHeight="14.4" x14ac:dyDescent="0.3"/>
  <cols>
    <col min="1" max="1" width="10.5546875" style="2" bestFit="1" customWidth="1"/>
    <col min="2" max="2" width="22.109375" customWidth="1"/>
    <col min="3" max="3" width="31.33203125" style="2" customWidth="1"/>
    <col min="4" max="4" width="32.21875" style="2" customWidth="1"/>
    <col min="5" max="5" width="29.5546875" style="2" bestFit="1" customWidth="1"/>
    <col min="6" max="6" width="13.44140625" bestFit="1" customWidth="1"/>
    <col min="7" max="9" width="12.77734375" style="2" bestFit="1" customWidth="1"/>
    <col min="10" max="10" width="12.77734375" bestFit="1" customWidth="1"/>
    <col min="11" max="11" width="12.77734375" style="1" bestFit="1" customWidth="1"/>
    <col min="12" max="12" width="12.77734375" bestFit="1" customWidth="1"/>
  </cols>
  <sheetData>
    <row r="1" spans="1:12" x14ac:dyDescent="0.3">
      <c r="A1" s="2" t="s">
        <v>34</v>
      </c>
      <c r="B1" t="s">
        <v>35</v>
      </c>
      <c r="C1" s="2" t="s">
        <v>36</v>
      </c>
      <c r="D1" s="2" t="s">
        <v>37</v>
      </c>
      <c r="E1" s="2" t="s">
        <v>38</v>
      </c>
      <c r="F1" t="s">
        <v>39</v>
      </c>
      <c r="G1" s="2" t="s">
        <v>40</v>
      </c>
      <c r="H1" s="2" t="s">
        <v>41</v>
      </c>
      <c r="I1" s="2" t="s">
        <v>42</v>
      </c>
      <c r="J1" t="s">
        <v>43</v>
      </c>
      <c r="K1" s="1" t="s">
        <v>44</v>
      </c>
      <c r="L1" t="s">
        <v>69</v>
      </c>
    </row>
    <row r="2" spans="1:12" x14ac:dyDescent="0.3">
      <c r="A2" s="2">
        <v>2013</v>
      </c>
      <c r="B2" t="s">
        <v>24</v>
      </c>
      <c r="C2" s="2">
        <v>4458940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I2" s="2">
        <v>384945</v>
      </c>
      <c r="J2" s="2">
        <v>0</v>
      </c>
      <c r="K2" s="1">
        <v>41275</v>
      </c>
      <c r="L2" s="2">
        <f>SUM(Tabla1[[#This Row],[Serv. Culturales Derecho Hab Publ]:[Soci Comedores Pensionados Jubl]])</f>
        <v>4843885</v>
      </c>
    </row>
    <row r="3" spans="1:12" x14ac:dyDescent="0.3">
      <c r="A3" s="2">
        <v>2014</v>
      </c>
      <c r="B3" t="s">
        <v>45</v>
      </c>
      <c r="C3" s="2">
        <v>2893725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14790</v>
      </c>
      <c r="J3" s="2">
        <v>0</v>
      </c>
      <c r="K3" s="1">
        <v>41640</v>
      </c>
      <c r="L3" s="2">
        <f>SUM(Tabla1[[#This Row],[Serv. Culturales Derecho Hab Publ]:[Soci Comedores Pensionados Jubl]])</f>
        <v>2908515</v>
      </c>
    </row>
    <row r="4" spans="1:12" x14ac:dyDescent="0.3">
      <c r="A4" s="2">
        <v>2015</v>
      </c>
      <c r="B4" t="s">
        <v>24</v>
      </c>
      <c r="C4" s="2">
        <v>2730808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36648</v>
      </c>
      <c r="J4" s="2">
        <v>0</v>
      </c>
      <c r="K4" s="1">
        <v>42005</v>
      </c>
      <c r="L4" s="2">
        <f>SUM(Tabla1[[#This Row],[Serv. Culturales Derecho Hab Publ]:[Soci Comedores Pensionados Jubl]])</f>
        <v>2767456</v>
      </c>
    </row>
    <row r="5" spans="1:12" x14ac:dyDescent="0.3">
      <c r="A5" s="2">
        <v>2018</v>
      </c>
      <c r="B5" t="s">
        <v>24</v>
      </c>
      <c r="C5" s="2">
        <v>1878886</v>
      </c>
      <c r="D5" s="2">
        <v>0</v>
      </c>
      <c r="E5" s="2">
        <v>0</v>
      </c>
      <c r="F5" s="2">
        <v>95</v>
      </c>
      <c r="G5" s="2">
        <v>0</v>
      </c>
      <c r="H5" s="2">
        <v>0</v>
      </c>
      <c r="I5" s="2">
        <v>9199</v>
      </c>
      <c r="J5" s="2">
        <v>0</v>
      </c>
      <c r="K5" s="1">
        <v>43101</v>
      </c>
      <c r="L5" s="2">
        <f>SUM(Tabla1[[#This Row],[Serv. Culturales Derecho Hab Publ]:[Soci Comedores Pensionados Jubl]])</f>
        <v>1888180</v>
      </c>
    </row>
    <row r="6" spans="1:12" x14ac:dyDescent="0.3">
      <c r="A6" s="2">
        <v>2017</v>
      </c>
      <c r="B6" t="s">
        <v>24</v>
      </c>
      <c r="C6" s="2">
        <v>1138040</v>
      </c>
      <c r="D6" s="2">
        <v>0</v>
      </c>
      <c r="E6" s="2">
        <v>0</v>
      </c>
      <c r="F6" s="2">
        <v>0</v>
      </c>
      <c r="G6" s="2">
        <v>0</v>
      </c>
      <c r="H6" s="2">
        <v>0</v>
      </c>
      <c r="I6" s="2">
        <v>12874</v>
      </c>
      <c r="J6" s="2">
        <v>0</v>
      </c>
      <c r="K6" s="1">
        <v>42736</v>
      </c>
      <c r="L6" s="2">
        <f>SUM(Tabla1[[#This Row],[Serv. Culturales Derecho Hab Publ]:[Soci Comedores Pensionados Jubl]])</f>
        <v>1150914</v>
      </c>
    </row>
    <row r="7" spans="1:12" x14ac:dyDescent="0.3">
      <c r="A7" s="2">
        <v>2019</v>
      </c>
      <c r="B7" t="s">
        <v>24</v>
      </c>
      <c r="C7" s="2">
        <v>997716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2530</v>
      </c>
      <c r="J7" s="2">
        <v>0</v>
      </c>
      <c r="K7" s="1">
        <v>43466</v>
      </c>
      <c r="L7" s="2">
        <f>SUM(Tabla1[[#This Row],[Serv. Culturales Derecho Hab Publ]:[Soci Comedores Pensionados Jubl]])</f>
        <v>1000246</v>
      </c>
    </row>
    <row r="8" spans="1:12" x14ac:dyDescent="0.3">
      <c r="A8" s="2">
        <v>2016</v>
      </c>
      <c r="B8" t="s">
        <v>24</v>
      </c>
      <c r="C8" s="2">
        <v>972448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23673</v>
      </c>
      <c r="J8" s="2">
        <v>0</v>
      </c>
      <c r="K8" s="1">
        <v>42370</v>
      </c>
      <c r="L8" s="2">
        <f>SUM(Tabla1[[#This Row],[Serv. Culturales Derecho Hab Publ]:[Soci Comedores Pensionados Jubl]])</f>
        <v>996121</v>
      </c>
    </row>
    <row r="9" spans="1:12" x14ac:dyDescent="0.3">
      <c r="A9" s="2">
        <v>2019</v>
      </c>
      <c r="B9" t="s">
        <v>14</v>
      </c>
      <c r="C9" s="2">
        <v>277218</v>
      </c>
      <c r="D9" s="2">
        <v>34857</v>
      </c>
      <c r="E9" s="2">
        <v>0</v>
      </c>
      <c r="F9" s="2">
        <v>56</v>
      </c>
      <c r="G9" s="2">
        <v>41550</v>
      </c>
      <c r="H9" s="2">
        <v>5755</v>
      </c>
      <c r="I9" s="2">
        <v>105889</v>
      </c>
      <c r="J9" s="2">
        <v>0</v>
      </c>
      <c r="K9" s="1">
        <v>43466</v>
      </c>
      <c r="L9" s="2">
        <f>SUM(Tabla1[[#This Row],[Serv. Culturales Derecho Hab Publ]:[Soci Comedores Pensionados Jubl]])</f>
        <v>465325</v>
      </c>
    </row>
    <row r="10" spans="1:12" x14ac:dyDescent="0.3">
      <c r="A10" s="2">
        <v>2018</v>
      </c>
      <c r="B10" t="s">
        <v>14</v>
      </c>
      <c r="C10" s="2">
        <v>275284</v>
      </c>
      <c r="D10" s="2">
        <v>44439</v>
      </c>
      <c r="E10" s="2">
        <v>0</v>
      </c>
      <c r="F10" s="2">
        <v>103</v>
      </c>
      <c r="G10" s="2">
        <v>51000</v>
      </c>
      <c r="H10" s="2">
        <v>10752</v>
      </c>
      <c r="I10" s="2">
        <v>77654</v>
      </c>
      <c r="J10" s="2">
        <v>0</v>
      </c>
      <c r="K10" s="1">
        <v>43101</v>
      </c>
      <c r="L10" s="2">
        <f>SUM(Tabla1[[#This Row],[Serv. Culturales Derecho Hab Publ]:[Soci Comedores Pensionados Jubl]])</f>
        <v>459232</v>
      </c>
    </row>
    <row r="11" spans="1:12" x14ac:dyDescent="0.3">
      <c r="A11" s="2">
        <v>2017</v>
      </c>
      <c r="B11" t="s">
        <v>14</v>
      </c>
      <c r="C11" s="2">
        <v>278566</v>
      </c>
      <c r="D11" s="2">
        <v>34747</v>
      </c>
      <c r="E11" s="2">
        <v>0</v>
      </c>
      <c r="F11" s="2">
        <v>110</v>
      </c>
      <c r="G11" s="2">
        <v>50835</v>
      </c>
      <c r="H11" s="2">
        <v>7023</v>
      </c>
      <c r="I11" s="2">
        <v>79082</v>
      </c>
      <c r="J11" s="2">
        <v>0</v>
      </c>
      <c r="K11" s="1">
        <v>42736</v>
      </c>
      <c r="L11" s="2">
        <f>SUM(Tabla1[[#This Row],[Serv. Culturales Derecho Hab Publ]:[Soci Comedores Pensionados Jubl]])</f>
        <v>450363</v>
      </c>
    </row>
    <row r="12" spans="1:12" x14ac:dyDescent="0.3">
      <c r="A12" s="2">
        <v>2015</v>
      </c>
      <c r="B12" t="s">
        <v>14</v>
      </c>
      <c r="C12" s="2">
        <v>279410</v>
      </c>
      <c r="D12" s="2">
        <v>32738</v>
      </c>
      <c r="E12" s="2">
        <v>0</v>
      </c>
      <c r="F12" s="2">
        <v>53</v>
      </c>
      <c r="G12" s="2">
        <v>30884</v>
      </c>
      <c r="H12" s="2">
        <v>12133</v>
      </c>
      <c r="I12" s="2">
        <v>31662</v>
      </c>
      <c r="J12" s="2">
        <v>0</v>
      </c>
      <c r="K12" s="1">
        <v>42005</v>
      </c>
      <c r="L12" s="2">
        <f>SUM(Tabla1[[#This Row],[Serv. Culturales Derecho Hab Publ]:[Soci Comedores Pensionados Jubl]])</f>
        <v>386880</v>
      </c>
    </row>
    <row r="13" spans="1:12" x14ac:dyDescent="0.3">
      <c r="A13" s="2">
        <v>2014</v>
      </c>
      <c r="B13" t="s">
        <v>14</v>
      </c>
      <c r="C13" s="2">
        <v>279230</v>
      </c>
      <c r="D13" s="2">
        <v>28336</v>
      </c>
      <c r="E13" s="2">
        <v>0</v>
      </c>
      <c r="F13" s="2">
        <v>85</v>
      </c>
      <c r="G13" s="2">
        <v>34685</v>
      </c>
      <c r="H13" s="2">
        <v>6994</v>
      </c>
      <c r="I13" s="2">
        <v>33335</v>
      </c>
      <c r="J13" s="2">
        <v>0</v>
      </c>
      <c r="K13" s="1">
        <v>41640</v>
      </c>
      <c r="L13" s="2">
        <f>SUM(Tabla1[[#This Row],[Serv. Culturales Derecho Hab Publ]:[Soci Comedores Pensionados Jubl]])</f>
        <v>382665</v>
      </c>
    </row>
    <row r="14" spans="1:12" x14ac:dyDescent="0.3">
      <c r="A14" s="2">
        <v>2015</v>
      </c>
      <c r="B14" t="s">
        <v>50</v>
      </c>
      <c r="C14" s="2">
        <v>234704</v>
      </c>
      <c r="D14" s="2">
        <v>83159</v>
      </c>
      <c r="E14" s="2">
        <v>0</v>
      </c>
      <c r="F14" s="2">
        <v>97</v>
      </c>
      <c r="G14" s="2">
        <v>16522</v>
      </c>
      <c r="H14" s="2">
        <v>8080</v>
      </c>
      <c r="I14" s="2">
        <v>10061</v>
      </c>
      <c r="J14" s="2">
        <v>0</v>
      </c>
      <c r="K14" s="1">
        <v>42005</v>
      </c>
      <c r="L14" s="2">
        <f>SUM(Tabla1[[#This Row],[Serv. Culturales Derecho Hab Publ]:[Soci Comedores Pensionados Jubl]])</f>
        <v>352623</v>
      </c>
    </row>
    <row r="15" spans="1:12" x14ac:dyDescent="0.3">
      <c r="A15" s="2">
        <v>2015</v>
      </c>
      <c r="B15" t="s">
        <v>57</v>
      </c>
      <c r="C15" s="2">
        <v>187915</v>
      </c>
      <c r="D15" s="2">
        <v>110643</v>
      </c>
      <c r="E15" s="2">
        <v>0</v>
      </c>
      <c r="F15" s="2">
        <v>10506</v>
      </c>
      <c r="G15" s="2">
        <v>11585</v>
      </c>
      <c r="H15" s="2">
        <v>16086</v>
      </c>
      <c r="I15" s="2">
        <v>11275</v>
      </c>
      <c r="J15" s="2">
        <v>0</v>
      </c>
      <c r="K15" s="1">
        <v>42005</v>
      </c>
      <c r="L15" s="2">
        <f>SUM(Tabla1[[#This Row],[Serv. Culturales Derecho Hab Publ]:[Soci Comedores Pensionados Jubl]])</f>
        <v>348010</v>
      </c>
    </row>
    <row r="16" spans="1:12" x14ac:dyDescent="0.3">
      <c r="A16" s="2">
        <v>2019</v>
      </c>
      <c r="B16" t="s">
        <v>50</v>
      </c>
      <c r="C16" s="2">
        <v>204535</v>
      </c>
      <c r="D16" s="2">
        <v>88112</v>
      </c>
      <c r="E16" s="2">
        <v>0</v>
      </c>
      <c r="F16" s="2">
        <v>125</v>
      </c>
      <c r="G16" s="2">
        <v>10735</v>
      </c>
      <c r="H16" s="2">
        <v>11894</v>
      </c>
      <c r="I16" s="2">
        <v>14648</v>
      </c>
      <c r="J16" s="2">
        <v>0</v>
      </c>
      <c r="K16" s="1">
        <v>43466</v>
      </c>
      <c r="L16" s="2">
        <f>SUM(Tabla1[[#This Row],[Serv. Culturales Derecho Hab Publ]:[Soci Comedores Pensionados Jubl]])</f>
        <v>330049</v>
      </c>
    </row>
    <row r="17" spans="1:12" x14ac:dyDescent="0.3">
      <c r="A17" s="2">
        <v>2013</v>
      </c>
      <c r="B17" t="s">
        <v>14</v>
      </c>
      <c r="C17" s="2">
        <v>273717</v>
      </c>
      <c r="D17" s="2">
        <v>18736</v>
      </c>
      <c r="E17" s="2">
        <v>0</v>
      </c>
      <c r="F17" s="2">
        <v>94</v>
      </c>
      <c r="G17" s="2">
        <v>6178</v>
      </c>
      <c r="H17" s="2">
        <v>1543</v>
      </c>
      <c r="I17" s="2">
        <v>29140</v>
      </c>
      <c r="J17" s="2">
        <v>0</v>
      </c>
      <c r="K17" s="1">
        <v>41275</v>
      </c>
      <c r="L17" s="2">
        <f>SUM(Tabla1[[#This Row],[Serv. Culturales Derecho Hab Publ]:[Soci Comedores Pensionados Jubl]])</f>
        <v>329408</v>
      </c>
    </row>
    <row r="18" spans="1:12" x14ac:dyDescent="0.3">
      <c r="A18" s="2">
        <v>2014</v>
      </c>
      <c r="B18" t="s">
        <v>50</v>
      </c>
      <c r="C18" s="2">
        <v>209668</v>
      </c>
      <c r="D18" s="2">
        <v>80233</v>
      </c>
      <c r="E18" s="2">
        <v>0</v>
      </c>
      <c r="F18" s="2">
        <v>166</v>
      </c>
      <c r="G18" s="2">
        <v>16736</v>
      </c>
      <c r="H18" s="2">
        <v>12145</v>
      </c>
      <c r="I18" s="2">
        <v>9706</v>
      </c>
      <c r="J18" s="2">
        <v>0</v>
      </c>
      <c r="K18" s="1">
        <v>41640</v>
      </c>
      <c r="L18" s="2">
        <f>SUM(Tabla1[[#This Row],[Serv. Culturales Derecho Hab Publ]:[Soci Comedores Pensionados Jubl]])</f>
        <v>328654</v>
      </c>
    </row>
    <row r="19" spans="1:12" x14ac:dyDescent="0.3">
      <c r="A19" s="2">
        <v>2019</v>
      </c>
      <c r="B19" t="s">
        <v>53</v>
      </c>
      <c r="C19" s="2">
        <v>119571</v>
      </c>
      <c r="D19" s="2">
        <v>161933</v>
      </c>
      <c r="E19" s="2">
        <v>0</v>
      </c>
      <c r="F19" s="2">
        <v>9116</v>
      </c>
      <c r="G19" s="2">
        <v>8594</v>
      </c>
      <c r="H19" s="2">
        <v>11419</v>
      </c>
      <c r="I19" s="2">
        <v>12443</v>
      </c>
      <c r="J19" s="2">
        <v>0</v>
      </c>
      <c r="K19" s="1">
        <v>43466</v>
      </c>
      <c r="L19" s="2">
        <f>SUM(Tabla1[[#This Row],[Serv. Culturales Derecho Hab Publ]:[Soci Comedores Pensionados Jubl]])</f>
        <v>323076</v>
      </c>
    </row>
    <row r="20" spans="1:12" x14ac:dyDescent="0.3">
      <c r="A20" s="2">
        <v>2018</v>
      </c>
      <c r="B20" t="s">
        <v>50</v>
      </c>
      <c r="C20" s="2">
        <v>196588</v>
      </c>
      <c r="D20" s="2">
        <v>85222</v>
      </c>
      <c r="E20" s="2">
        <v>0</v>
      </c>
      <c r="F20" s="2">
        <v>117</v>
      </c>
      <c r="G20" s="2">
        <v>7158</v>
      </c>
      <c r="H20" s="2">
        <v>12025</v>
      </c>
      <c r="I20" s="2">
        <v>15704</v>
      </c>
      <c r="J20" s="2">
        <v>0</v>
      </c>
      <c r="K20" s="1">
        <v>43101</v>
      </c>
      <c r="L20" s="2">
        <f>SUM(Tabla1[[#This Row],[Serv. Culturales Derecho Hab Publ]:[Soci Comedores Pensionados Jubl]])</f>
        <v>316814</v>
      </c>
    </row>
    <row r="21" spans="1:12" x14ac:dyDescent="0.3">
      <c r="A21" s="2">
        <v>2018</v>
      </c>
      <c r="B21" t="s">
        <v>55</v>
      </c>
      <c r="C21" s="2">
        <v>142850</v>
      </c>
      <c r="D21" s="2">
        <v>107345</v>
      </c>
      <c r="E21" s="2">
        <v>0</v>
      </c>
      <c r="F21" s="2">
        <v>1863</v>
      </c>
      <c r="G21" s="2">
        <v>14215</v>
      </c>
      <c r="H21" s="2">
        <v>16656</v>
      </c>
      <c r="I21" s="2">
        <v>30612</v>
      </c>
      <c r="J21" s="2">
        <v>0</v>
      </c>
      <c r="K21" s="1">
        <v>43101</v>
      </c>
      <c r="L21" s="2">
        <f>SUM(Tabla1[[#This Row],[Serv. Culturales Derecho Hab Publ]:[Soci Comedores Pensionados Jubl]])</f>
        <v>313541</v>
      </c>
    </row>
    <row r="22" spans="1:12" x14ac:dyDescent="0.3">
      <c r="A22" s="2">
        <v>2019</v>
      </c>
      <c r="B22" t="s">
        <v>55</v>
      </c>
      <c r="C22" s="2">
        <v>141741</v>
      </c>
      <c r="D22" s="2">
        <v>114647</v>
      </c>
      <c r="E22" s="2">
        <v>0</v>
      </c>
      <c r="F22" s="2">
        <v>1692</v>
      </c>
      <c r="G22" s="2">
        <v>15181</v>
      </c>
      <c r="H22" s="2">
        <v>12065</v>
      </c>
      <c r="I22" s="2">
        <v>18830</v>
      </c>
      <c r="J22" s="2">
        <v>0</v>
      </c>
      <c r="K22" s="1">
        <v>43466</v>
      </c>
      <c r="L22" s="2">
        <f>SUM(Tabla1[[#This Row],[Serv. Culturales Derecho Hab Publ]:[Soci Comedores Pensionados Jubl]])</f>
        <v>304156</v>
      </c>
    </row>
    <row r="23" spans="1:12" x14ac:dyDescent="0.3">
      <c r="A23" s="2">
        <v>2014</v>
      </c>
      <c r="B23" t="s">
        <v>59</v>
      </c>
      <c r="C23" s="2">
        <v>154188</v>
      </c>
      <c r="D23" s="2">
        <v>102821</v>
      </c>
      <c r="E23" s="2">
        <v>0</v>
      </c>
      <c r="F23" s="2">
        <v>2558</v>
      </c>
      <c r="G23" s="2">
        <v>5203</v>
      </c>
      <c r="H23" s="2">
        <v>17885</v>
      </c>
      <c r="I23" s="2">
        <v>19915</v>
      </c>
      <c r="J23" s="2">
        <v>0</v>
      </c>
      <c r="K23" s="1">
        <v>41640</v>
      </c>
      <c r="L23" s="2">
        <f>SUM(Tabla1[[#This Row],[Serv. Culturales Derecho Hab Publ]:[Soci Comedores Pensionados Jubl]])</f>
        <v>302570</v>
      </c>
    </row>
    <row r="24" spans="1:12" x14ac:dyDescent="0.3">
      <c r="A24" s="2">
        <v>2017</v>
      </c>
      <c r="B24" t="s">
        <v>55</v>
      </c>
      <c r="C24" s="2">
        <v>151018</v>
      </c>
      <c r="D24" s="2">
        <v>88924</v>
      </c>
      <c r="E24" s="2">
        <v>0</v>
      </c>
      <c r="F24" s="2">
        <v>2197</v>
      </c>
      <c r="G24" s="2">
        <v>16229</v>
      </c>
      <c r="H24" s="2">
        <v>17506</v>
      </c>
      <c r="I24" s="2">
        <v>26677</v>
      </c>
      <c r="J24" s="2">
        <v>0</v>
      </c>
      <c r="K24" s="1">
        <v>42736</v>
      </c>
      <c r="L24" s="2">
        <f>SUM(Tabla1[[#This Row],[Serv. Culturales Derecho Hab Publ]:[Soci Comedores Pensionados Jubl]])</f>
        <v>302551</v>
      </c>
    </row>
    <row r="25" spans="1:12" x14ac:dyDescent="0.3">
      <c r="A25" s="2">
        <v>2017</v>
      </c>
      <c r="B25" t="s">
        <v>50</v>
      </c>
      <c r="C25" s="2">
        <v>184992</v>
      </c>
      <c r="D25" s="2">
        <v>85679</v>
      </c>
      <c r="E25" s="2">
        <v>0</v>
      </c>
      <c r="F25" s="2">
        <v>98</v>
      </c>
      <c r="G25" s="2">
        <v>7628</v>
      </c>
      <c r="H25" s="2">
        <v>12462</v>
      </c>
      <c r="I25" s="2">
        <v>9697</v>
      </c>
      <c r="J25" s="2">
        <v>0</v>
      </c>
      <c r="K25" s="1">
        <v>42736</v>
      </c>
      <c r="L25" s="2">
        <f>SUM(Tabla1[[#This Row],[Serv. Culturales Derecho Hab Publ]:[Soci Comedores Pensionados Jubl]])</f>
        <v>300556</v>
      </c>
    </row>
    <row r="26" spans="1:12" x14ac:dyDescent="0.3">
      <c r="A26" s="2">
        <v>2013</v>
      </c>
      <c r="B26" t="s">
        <v>59</v>
      </c>
      <c r="C26" s="2">
        <v>117133</v>
      </c>
      <c r="D26" s="2">
        <v>104254</v>
      </c>
      <c r="E26" s="2">
        <v>0</v>
      </c>
      <c r="F26" s="2">
        <v>2529</v>
      </c>
      <c r="G26" s="2">
        <v>5574</v>
      </c>
      <c r="H26" s="2">
        <v>19327</v>
      </c>
      <c r="I26" s="2">
        <v>51613</v>
      </c>
      <c r="J26" s="2">
        <v>0</v>
      </c>
      <c r="K26" s="1">
        <v>41275</v>
      </c>
      <c r="L26" s="2">
        <f>SUM(Tabla1[[#This Row],[Serv. Culturales Derecho Hab Publ]:[Soci Comedores Pensionados Jubl]])</f>
        <v>300430</v>
      </c>
    </row>
    <row r="27" spans="1:12" x14ac:dyDescent="0.3">
      <c r="A27" s="2">
        <v>2018</v>
      </c>
      <c r="B27" t="s">
        <v>46</v>
      </c>
      <c r="C27" s="2">
        <v>240729</v>
      </c>
      <c r="D27" s="2">
        <v>32217</v>
      </c>
      <c r="E27" s="2">
        <v>0</v>
      </c>
      <c r="F27" s="2">
        <v>3131</v>
      </c>
      <c r="G27" s="2">
        <v>8336</v>
      </c>
      <c r="H27" s="2">
        <v>3185</v>
      </c>
      <c r="I27" s="2">
        <v>10854</v>
      </c>
      <c r="J27" s="2">
        <v>0</v>
      </c>
      <c r="K27" s="1">
        <v>43101</v>
      </c>
      <c r="L27" s="2">
        <f>SUM(Tabla1[[#This Row],[Serv. Culturales Derecho Hab Publ]:[Soci Comedores Pensionados Jubl]])</f>
        <v>298452</v>
      </c>
    </row>
    <row r="28" spans="1:12" x14ac:dyDescent="0.3">
      <c r="A28" s="2">
        <v>2015</v>
      </c>
      <c r="B28" t="s">
        <v>46</v>
      </c>
      <c r="C28" s="2">
        <v>243748</v>
      </c>
      <c r="D28" s="2">
        <v>33879</v>
      </c>
      <c r="E28" s="2">
        <v>0</v>
      </c>
      <c r="F28" s="2">
        <v>2770</v>
      </c>
      <c r="G28" s="2">
        <v>5211</v>
      </c>
      <c r="H28" s="2">
        <v>1944</v>
      </c>
      <c r="I28" s="2">
        <v>10747</v>
      </c>
      <c r="J28" s="2">
        <v>0</v>
      </c>
      <c r="K28" s="1">
        <v>42005</v>
      </c>
      <c r="L28" s="2">
        <f>SUM(Tabla1[[#This Row],[Serv. Culturales Derecho Hab Publ]:[Soci Comedores Pensionados Jubl]])</f>
        <v>298299</v>
      </c>
    </row>
    <row r="29" spans="1:12" x14ac:dyDescent="0.3">
      <c r="A29" s="2">
        <v>2017</v>
      </c>
      <c r="B29" t="s">
        <v>46</v>
      </c>
      <c r="C29" s="2">
        <v>236567</v>
      </c>
      <c r="D29" s="2">
        <v>33015</v>
      </c>
      <c r="E29" s="2">
        <v>0</v>
      </c>
      <c r="F29" s="2">
        <v>3555</v>
      </c>
      <c r="G29" s="2">
        <v>6288</v>
      </c>
      <c r="H29" s="2">
        <v>3915</v>
      </c>
      <c r="I29" s="2">
        <v>11731</v>
      </c>
      <c r="J29" s="2">
        <v>0</v>
      </c>
      <c r="K29" s="1">
        <v>42736</v>
      </c>
      <c r="L29" s="2">
        <f>SUM(Tabla1[[#This Row],[Serv. Culturales Derecho Hab Publ]:[Soci Comedores Pensionados Jubl]])</f>
        <v>295071</v>
      </c>
    </row>
    <row r="30" spans="1:12" x14ac:dyDescent="0.3">
      <c r="A30" s="2">
        <v>2014</v>
      </c>
      <c r="B30" t="s">
        <v>46</v>
      </c>
      <c r="C30" s="2">
        <v>244524</v>
      </c>
      <c r="D30" s="2">
        <v>33134</v>
      </c>
      <c r="E30" s="2">
        <v>0</v>
      </c>
      <c r="F30" s="2">
        <v>4273</v>
      </c>
      <c r="G30" s="2">
        <v>470</v>
      </c>
      <c r="H30" s="2">
        <v>3437</v>
      </c>
      <c r="I30" s="2">
        <v>8458</v>
      </c>
      <c r="J30" s="2">
        <v>0</v>
      </c>
      <c r="K30" s="1">
        <v>41640</v>
      </c>
      <c r="L30" s="2">
        <f>SUM(Tabla1[[#This Row],[Serv. Culturales Derecho Hab Publ]:[Soci Comedores Pensionados Jubl]])</f>
        <v>294296</v>
      </c>
    </row>
    <row r="31" spans="1:12" x14ac:dyDescent="0.3">
      <c r="A31" s="2">
        <v>2016</v>
      </c>
      <c r="B31" t="s">
        <v>14</v>
      </c>
      <c r="C31" s="2">
        <v>203286</v>
      </c>
      <c r="D31" s="2">
        <v>0</v>
      </c>
      <c r="E31" s="2">
        <v>0</v>
      </c>
      <c r="F31" s="2">
        <v>0</v>
      </c>
      <c r="G31" s="2">
        <v>26559</v>
      </c>
      <c r="H31" s="2">
        <v>2943</v>
      </c>
      <c r="I31" s="2">
        <v>60186</v>
      </c>
      <c r="J31" s="2">
        <v>0</v>
      </c>
      <c r="K31" s="1">
        <v>42370</v>
      </c>
      <c r="L31" s="2">
        <f>SUM(Tabla1[[#This Row],[Serv. Culturales Derecho Hab Publ]:[Soci Comedores Pensionados Jubl]])</f>
        <v>292974</v>
      </c>
    </row>
    <row r="32" spans="1:12" x14ac:dyDescent="0.3">
      <c r="A32" s="2">
        <v>2013</v>
      </c>
      <c r="B32" t="s">
        <v>57</v>
      </c>
      <c r="C32" s="2">
        <v>77535</v>
      </c>
      <c r="D32" s="2">
        <v>129901</v>
      </c>
      <c r="E32" s="2">
        <v>0</v>
      </c>
      <c r="F32" s="2">
        <v>14131</v>
      </c>
      <c r="G32" s="2">
        <v>22755</v>
      </c>
      <c r="H32" s="2">
        <v>15902</v>
      </c>
      <c r="I32" s="2">
        <v>30301</v>
      </c>
      <c r="J32" s="2">
        <v>0</v>
      </c>
      <c r="K32" s="1">
        <v>41275</v>
      </c>
      <c r="L32" s="2">
        <f>SUM(Tabla1[[#This Row],[Serv. Culturales Derecho Hab Publ]:[Soci Comedores Pensionados Jubl]])</f>
        <v>290525</v>
      </c>
    </row>
    <row r="33" spans="1:12" x14ac:dyDescent="0.3">
      <c r="A33" s="2">
        <v>2018</v>
      </c>
      <c r="B33" t="s">
        <v>52</v>
      </c>
      <c r="C33" s="2">
        <v>132860</v>
      </c>
      <c r="D33" s="2">
        <v>113114</v>
      </c>
      <c r="E33" s="2">
        <v>0</v>
      </c>
      <c r="F33" s="2">
        <v>3649</v>
      </c>
      <c r="G33" s="2">
        <v>9607</v>
      </c>
      <c r="H33" s="2">
        <v>19438</v>
      </c>
      <c r="I33" s="2">
        <v>10708</v>
      </c>
      <c r="J33" s="2">
        <v>0</v>
      </c>
      <c r="K33" s="1">
        <v>43101</v>
      </c>
      <c r="L33" s="2">
        <f>SUM(Tabla1[[#This Row],[Serv. Culturales Derecho Hab Publ]:[Soci Comedores Pensionados Jubl]])</f>
        <v>289376</v>
      </c>
    </row>
    <row r="34" spans="1:12" x14ac:dyDescent="0.3">
      <c r="A34" s="2">
        <v>2017</v>
      </c>
      <c r="B34" t="s">
        <v>52</v>
      </c>
      <c r="C34" s="2">
        <v>145522</v>
      </c>
      <c r="D34" s="2">
        <v>94954</v>
      </c>
      <c r="E34" s="2">
        <v>0</v>
      </c>
      <c r="F34" s="2">
        <v>4230</v>
      </c>
      <c r="G34" s="2">
        <v>6760</v>
      </c>
      <c r="H34" s="2">
        <v>18840</v>
      </c>
      <c r="I34" s="2">
        <v>10723</v>
      </c>
      <c r="J34" s="2">
        <v>0</v>
      </c>
      <c r="K34" s="1">
        <v>42736</v>
      </c>
      <c r="L34" s="2">
        <f>SUM(Tabla1[[#This Row],[Serv. Culturales Derecho Hab Publ]:[Soci Comedores Pensionados Jubl]])</f>
        <v>281029</v>
      </c>
    </row>
    <row r="35" spans="1:12" x14ac:dyDescent="0.3">
      <c r="A35" s="2">
        <v>2015</v>
      </c>
      <c r="B35" t="s">
        <v>59</v>
      </c>
      <c r="C35" s="2">
        <v>113765</v>
      </c>
      <c r="D35" s="2">
        <v>109969</v>
      </c>
      <c r="E35" s="2">
        <v>0</v>
      </c>
      <c r="F35" s="2">
        <v>2363</v>
      </c>
      <c r="G35" s="2">
        <v>2813</v>
      </c>
      <c r="H35" s="2">
        <v>19039</v>
      </c>
      <c r="I35" s="2">
        <v>32298</v>
      </c>
      <c r="J35" s="2">
        <v>0</v>
      </c>
      <c r="K35" s="1">
        <v>42005</v>
      </c>
      <c r="L35" s="2">
        <f>SUM(Tabla1[[#This Row],[Serv. Culturales Derecho Hab Publ]:[Soci Comedores Pensionados Jubl]])</f>
        <v>280247</v>
      </c>
    </row>
    <row r="36" spans="1:12" x14ac:dyDescent="0.3">
      <c r="A36" s="2">
        <v>2013</v>
      </c>
      <c r="B36" t="s">
        <v>56</v>
      </c>
      <c r="C36" s="2">
        <v>110241</v>
      </c>
      <c r="D36" s="2">
        <v>127344</v>
      </c>
      <c r="E36" s="2">
        <v>0</v>
      </c>
      <c r="F36" s="2">
        <v>6436</v>
      </c>
      <c r="G36" s="2">
        <v>2112</v>
      </c>
      <c r="H36" s="2">
        <v>22831</v>
      </c>
      <c r="I36" s="2">
        <v>9457</v>
      </c>
      <c r="J36" s="2">
        <v>0</v>
      </c>
      <c r="K36" s="1">
        <v>41275</v>
      </c>
      <c r="L36" s="2">
        <f>SUM(Tabla1[[#This Row],[Serv. Culturales Derecho Hab Publ]:[Soci Comedores Pensionados Jubl]])</f>
        <v>278421</v>
      </c>
    </row>
    <row r="37" spans="1:12" x14ac:dyDescent="0.3">
      <c r="A37" s="2">
        <v>2019</v>
      </c>
      <c r="B37" t="s">
        <v>23</v>
      </c>
      <c r="C37" s="2">
        <v>123350</v>
      </c>
      <c r="D37" s="2">
        <v>92540</v>
      </c>
      <c r="E37" s="2">
        <v>0</v>
      </c>
      <c r="F37" s="2">
        <v>439</v>
      </c>
      <c r="G37" s="2">
        <v>32044</v>
      </c>
      <c r="H37" s="2">
        <v>13730</v>
      </c>
      <c r="I37" s="2">
        <v>10761</v>
      </c>
      <c r="J37" s="2">
        <v>0</v>
      </c>
      <c r="K37" s="1">
        <v>43466</v>
      </c>
      <c r="L37" s="2">
        <f>SUM(Tabla1[[#This Row],[Serv. Culturales Derecho Hab Publ]:[Soci Comedores Pensionados Jubl]])</f>
        <v>272864</v>
      </c>
    </row>
    <row r="38" spans="1:12" x14ac:dyDescent="0.3">
      <c r="A38" s="2">
        <v>2017</v>
      </c>
      <c r="B38" t="s">
        <v>53</v>
      </c>
      <c r="C38" s="2">
        <v>85815</v>
      </c>
      <c r="D38" s="2">
        <v>137343</v>
      </c>
      <c r="E38" s="2">
        <v>0</v>
      </c>
      <c r="F38" s="2">
        <v>9983</v>
      </c>
      <c r="G38" s="2">
        <v>5769</v>
      </c>
      <c r="H38" s="2">
        <v>17689</v>
      </c>
      <c r="I38" s="2">
        <v>13474</v>
      </c>
      <c r="J38" s="2">
        <v>0</v>
      </c>
      <c r="K38" s="1">
        <v>42736</v>
      </c>
      <c r="L38" s="2">
        <f>SUM(Tabla1[[#This Row],[Serv. Culturales Derecho Hab Publ]:[Soci Comedores Pensionados Jubl]])</f>
        <v>270073</v>
      </c>
    </row>
    <row r="39" spans="1:12" x14ac:dyDescent="0.3">
      <c r="A39" s="2">
        <v>2015</v>
      </c>
      <c r="B39" t="s">
        <v>51</v>
      </c>
      <c r="C39" s="2">
        <v>137489</v>
      </c>
      <c r="D39" s="2">
        <v>73184</v>
      </c>
      <c r="E39" s="2">
        <v>0</v>
      </c>
      <c r="F39" s="2">
        <v>131</v>
      </c>
      <c r="G39" s="2">
        <v>18376</v>
      </c>
      <c r="H39" s="2">
        <v>12062</v>
      </c>
      <c r="I39" s="2">
        <v>25933</v>
      </c>
      <c r="J39" s="2">
        <v>0</v>
      </c>
      <c r="K39" s="1">
        <v>42005</v>
      </c>
      <c r="L39" s="2">
        <f>SUM(Tabla1[[#This Row],[Serv. Culturales Derecho Hab Publ]:[Soci Comedores Pensionados Jubl]])</f>
        <v>267175</v>
      </c>
    </row>
    <row r="40" spans="1:12" x14ac:dyDescent="0.3">
      <c r="A40" s="2">
        <v>2017</v>
      </c>
      <c r="B40" t="s">
        <v>23</v>
      </c>
      <c r="C40" s="2">
        <v>121744</v>
      </c>
      <c r="D40" s="2">
        <v>97592</v>
      </c>
      <c r="E40" s="2">
        <v>0</v>
      </c>
      <c r="F40" s="2">
        <v>424</v>
      </c>
      <c r="G40" s="2">
        <v>20491</v>
      </c>
      <c r="H40" s="2">
        <v>16167</v>
      </c>
      <c r="I40" s="2">
        <v>9836</v>
      </c>
      <c r="J40" s="2">
        <v>0</v>
      </c>
      <c r="K40" s="1">
        <v>42736</v>
      </c>
      <c r="L40" s="2">
        <f>SUM(Tabla1[[#This Row],[Serv. Culturales Derecho Hab Publ]:[Soci Comedores Pensionados Jubl]])</f>
        <v>266254</v>
      </c>
    </row>
    <row r="41" spans="1:12" x14ac:dyDescent="0.3">
      <c r="A41" s="2">
        <v>2014</v>
      </c>
      <c r="B41" t="s">
        <v>56</v>
      </c>
      <c r="C41" s="2">
        <v>101457</v>
      </c>
      <c r="D41" s="2">
        <v>125658</v>
      </c>
      <c r="E41" s="2">
        <v>0</v>
      </c>
      <c r="F41" s="2">
        <v>5677</v>
      </c>
      <c r="G41" s="2">
        <v>3537</v>
      </c>
      <c r="H41" s="2">
        <v>22392</v>
      </c>
      <c r="I41" s="2">
        <v>7219</v>
      </c>
      <c r="J41" s="2">
        <v>0</v>
      </c>
      <c r="K41" s="1">
        <v>41640</v>
      </c>
      <c r="L41" s="2">
        <f>SUM(Tabla1[[#This Row],[Serv. Culturales Derecho Hab Publ]:[Soci Comedores Pensionados Jubl]])</f>
        <v>265940</v>
      </c>
    </row>
    <row r="42" spans="1:12" x14ac:dyDescent="0.3">
      <c r="A42" s="2">
        <v>2019</v>
      </c>
      <c r="B42" t="s">
        <v>46</v>
      </c>
      <c r="C42" s="2">
        <v>205948</v>
      </c>
      <c r="D42" s="2">
        <v>31890</v>
      </c>
      <c r="E42" s="2">
        <v>0</v>
      </c>
      <c r="F42" s="2">
        <v>2782</v>
      </c>
      <c r="G42" s="2">
        <v>7155</v>
      </c>
      <c r="H42" s="2">
        <v>4994</v>
      </c>
      <c r="I42" s="2">
        <v>12312</v>
      </c>
      <c r="J42" s="2">
        <v>0</v>
      </c>
      <c r="K42" s="1">
        <v>43466</v>
      </c>
      <c r="L42" s="2">
        <f>SUM(Tabla1[[#This Row],[Serv. Culturales Derecho Hab Publ]:[Soci Comedores Pensionados Jubl]])</f>
        <v>265081</v>
      </c>
    </row>
    <row r="43" spans="1:12" x14ac:dyDescent="0.3">
      <c r="A43" s="2">
        <v>2014</v>
      </c>
      <c r="B43" t="s">
        <v>51</v>
      </c>
      <c r="C43" s="2">
        <v>136792</v>
      </c>
      <c r="D43" s="2">
        <v>73402</v>
      </c>
      <c r="E43" s="2">
        <v>0</v>
      </c>
      <c r="F43" s="2">
        <v>86</v>
      </c>
      <c r="G43" s="2">
        <v>19708</v>
      </c>
      <c r="H43" s="2">
        <v>13766</v>
      </c>
      <c r="I43" s="2">
        <v>16785</v>
      </c>
      <c r="J43" s="2">
        <v>0</v>
      </c>
      <c r="K43" s="1">
        <v>41640</v>
      </c>
      <c r="L43" s="2">
        <f>SUM(Tabla1[[#This Row],[Serv. Culturales Derecho Hab Publ]:[Soci Comedores Pensionados Jubl]])</f>
        <v>260539</v>
      </c>
    </row>
    <row r="44" spans="1:12" x14ac:dyDescent="0.3">
      <c r="A44" s="2">
        <v>2018</v>
      </c>
      <c r="B44" t="s">
        <v>23</v>
      </c>
      <c r="C44" s="2">
        <v>121960</v>
      </c>
      <c r="D44" s="2">
        <v>94515</v>
      </c>
      <c r="E44" s="2">
        <v>0</v>
      </c>
      <c r="F44" s="2">
        <v>439</v>
      </c>
      <c r="G44" s="2">
        <v>11412</v>
      </c>
      <c r="H44" s="2">
        <v>17502</v>
      </c>
      <c r="I44" s="2">
        <v>10990</v>
      </c>
      <c r="J44" s="2">
        <v>0</v>
      </c>
      <c r="K44" s="1">
        <v>43101</v>
      </c>
      <c r="L44" s="2">
        <f>SUM(Tabla1[[#This Row],[Serv. Culturales Derecho Hab Publ]:[Soci Comedores Pensionados Jubl]])</f>
        <v>256818</v>
      </c>
    </row>
    <row r="45" spans="1:12" x14ac:dyDescent="0.3">
      <c r="A45" s="2">
        <v>2013</v>
      </c>
      <c r="B45" t="s">
        <v>50</v>
      </c>
      <c r="C45" s="2">
        <v>163205</v>
      </c>
      <c r="D45" s="2">
        <v>67299</v>
      </c>
      <c r="E45" s="2">
        <v>0</v>
      </c>
      <c r="F45" s="2">
        <v>60</v>
      </c>
      <c r="G45" s="2">
        <v>9984</v>
      </c>
      <c r="H45" s="2">
        <v>6535</v>
      </c>
      <c r="I45" s="2">
        <v>8847</v>
      </c>
      <c r="J45" s="2">
        <v>0</v>
      </c>
      <c r="K45" s="1">
        <v>41275</v>
      </c>
      <c r="L45" s="2">
        <f>SUM(Tabla1[[#This Row],[Serv. Culturales Derecho Hab Publ]:[Soci Comedores Pensionados Jubl]])</f>
        <v>255930</v>
      </c>
    </row>
    <row r="46" spans="1:12" x14ac:dyDescent="0.3">
      <c r="A46" s="2">
        <v>2014</v>
      </c>
      <c r="B46" t="s">
        <v>57</v>
      </c>
      <c r="C46" s="2">
        <v>88242</v>
      </c>
      <c r="D46" s="2">
        <v>109103</v>
      </c>
      <c r="E46" s="2">
        <v>0</v>
      </c>
      <c r="F46" s="2">
        <v>13462</v>
      </c>
      <c r="G46" s="2">
        <v>17024</v>
      </c>
      <c r="H46" s="2">
        <v>14006</v>
      </c>
      <c r="I46" s="2">
        <v>12098</v>
      </c>
      <c r="J46" s="2">
        <v>0</v>
      </c>
      <c r="K46" s="1">
        <v>41640</v>
      </c>
      <c r="L46" s="2">
        <f>SUM(Tabla1[[#This Row],[Serv. Culturales Derecho Hab Publ]:[Soci Comedores Pensionados Jubl]])</f>
        <v>253935</v>
      </c>
    </row>
    <row r="47" spans="1:12" x14ac:dyDescent="0.3">
      <c r="A47" s="2">
        <v>2015</v>
      </c>
      <c r="B47" t="s">
        <v>23</v>
      </c>
      <c r="C47" s="2">
        <v>119575</v>
      </c>
      <c r="D47" s="2">
        <v>88408</v>
      </c>
      <c r="E47" s="2">
        <v>0</v>
      </c>
      <c r="F47" s="2">
        <v>370</v>
      </c>
      <c r="G47" s="2">
        <v>12570</v>
      </c>
      <c r="H47" s="2">
        <v>12320</v>
      </c>
      <c r="I47" s="2">
        <v>15353</v>
      </c>
      <c r="J47" s="2">
        <v>0</v>
      </c>
      <c r="K47" s="1">
        <v>42005</v>
      </c>
      <c r="L47" s="2">
        <f>SUM(Tabla1[[#This Row],[Serv. Culturales Derecho Hab Publ]:[Soci Comedores Pensionados Jubl]])</f>
        <v>248596</v>
      </c>
    </row>
    <row r="48" spans="1:12" x14ac:dyDescent="0.3">
      <c r="A48" s="2">
        <v>2014</v>
      </c>
      <c r="B48" t="s">
        <v>23</v>
      </c>
      <c r="C48" s="2">
        <v>120190</v>
      </c>
      <c r="D48" s="2">
        <v>89439</v>
      </c>
      <c r="E48" s="2">
        <v>0</v>
      </c>
      <c r="F48" s="2">
        <v>407</v>
      </c>
      <c r="G48" s="2">
        <v>13137</v>
      </c>
      <c r="H48" s="2">
        <v>12281</v>
      </c>
      <c r="I48" s="2">
        <v>10115</v>
      </c>
      <c r="J48" s="2">
        <v>0</v>
      </c>
      <c r="K48" s="1">
        <v>41640</v>
      </c>
      <c r="L48" s="2">
        <f>SUM(Tabla1[[#This Row],[Serv. Culturales Derecho Hab Publ]:[Soci Comedores Pensionados Jubl]])</f>
        <v>245569</v>
      </c>
    </row>
    <row r="49" spans="1:12" x14ac:dyDescent="0.3">
      <c r="A49" s="2">
        <v>2013</v>
      </c>
      <c r="B49" t="s">
        <v>23</v>
      </c>
      <c r="C49" s="2">
        <v>116532</v>
      </c>
      <c r="D49" s="2">
        <v>88862</v>
      </c>
      <c r="E49" s="2">
        <v>0</v>
      </c>
      <c r="F49" s="2">
        <v>433</v>
      </c>
      <c r="G49" s="2">
        <v>6881</v>
      </c>
      <c r="H49" s="2">
        <v>14260</v>
      </c>
      <c r="I49" s="2">
        <v>10674</v>
      </c>
      <c r="J49" s="2">
        <v>0</v>
      </c>
      <c r="K49" s="1">
        <v>41275</v>
      </c>
      <c r="L49" s="2">
        <f>SUM(Tabla1[[#This Row],[Serv. Culturales Derecho Hab Publ]:[Soci Comedores Pensionados Jubl]])</f>
        <v>237642</v>
      </c>
    </row>
    <row r="50" spans="1:12" x14ac:dyDescent="0.3">
      <c r="A50" s="2">
        <v>2018</v>
      </c>
      <c r="B50" t="s">
        <v>53</v>
      </c>
      <c r="C50" s="2">
        <v>66922</v>
      </c>
      <c r="D50" s="2">
        <v>122890</v>
      </c>
      <c r="E50" s="2">
        <v>0</v>
      </c>
      <c r="F50" s="2">
        <v>9949</v>
      </c>
      <c r="G50" s="2">
        <v>6854</v>
      </c>
      <c r="H50" s="2">
        <v>11134</v>
      </c>
      <c r="I50" s="2">
        <v>18681</v>
      </c>
      <c r="J50" s="2">
        <v>0</v>
      </c>
      <c r="K50" s="1">
        <v>43101</v>
      </c>
      <c r="L50" s="2">
        <f>SUM(Tabla1[[#This Row],[Serv. Culturales Derecho Hab Publ]:[Soci Comedores Pensionados Jubl]])</f>
        <v>236430</v>
      </c>
    </row>
    <row r="51" spans="1:12" x14ac:dyDescent="0.3">
      <c r="A51" s="2">
        <v>2014</v>
      </c>
      <c r="B51" t="s">
        <v>47</v>
      </c>
      <c r="C51" s="2">
        <v>116900</v>
      </c>
      <c r="D51" s="2">
        <v>36603</v>
      </c>
      <c r="E51" s="2">
        <v>0</v>
      </c>
      <c r="F51" s="2">
        <v>219</v>
      </c>
      <c r="G51" s="2">
        <v>19217</v>
      </c>
      <c r="H51" s="2">
        <v>3402</v>
      </c>
      <c r="I51" s="2">
        <v>58349</v>
      </c>
      <c r="J51" s="2">
        <v>0</v>
      </c>
      <c r="K51" s="1">
        <v>41640</v>
      </c>
      <c r="L51" s="2">
        <f>SUM(Tabla1[[#This Row],[Serv. Culturales Derecho Hab Publ]:[Soci Comedores Pensionados Jubl]])</f>
        <v>234690</v>
      </c>
    </row>
    <row r="52" spans="1:12" x14ac:dyDescent="0.3">
      <c r="A52" s="2">
        <v>2015</v>
      </c>
      <c r="B52" t="s">
        <v>56</v>
      </c>
      <c r="C52" s="2">
        <v>91117</v>
      </c>
      <c r="D52" s="2">
        <v>105498</v>
      </c>
      <c r="E52" s="2">
        <v>0</v>
      </c>
      <c r="F52" s="2">
        <v>5450</v>
      </c>
      <c r="G52" s="2">
        <v>2730</v>
      </c>
      <c r="H52" s="2">
        <v>19350</v>
      </c>
      <c r="I52" s="2">
        <v>8193</v>
      </c>
      <c r="J52" s="2">
        <v>0</v>
      </c>
      <c r="K52" s="1">
        <v>42005</v>
      </c>
      <c r="L52" s="2">
        <f>SUM(Tabla1[[#This Row],[Serv. Culturales Derecho Hab Publ]:[Soci Comedores Pensionados Jubl]])</f>
        <v>232338</v>
      </c>
    </row>
    <row r="53" spans="1:12" x14ac:dyDescent="0.3">
      <c r="A53" s="2">
        <v>2013</v>
      </c>
      <c r="B53" t="s">
        <v>51</v>
      </c>
      <c r="C53" s="2">
        <v>115974</v>
      </c>
      <c r="D53" s="2">
        <v>68631</v>
      </c>
      <c r="E53" s="2">
        <v>0</v>
      </c>
      <c r="F53" s="2">
        <v>11</v>
      </c>
      <c r="G53" s="2">
        <v>3487</v>
      </c>
      <c r="H53" s="2">
        <v>11485</v>
      </c>
      <c r="I53" s="2">
        <v>27761</v>
      </c>
      <c r="J53" s="2">
        <v>0</v>
      </c>
      <c r="K53" s="1">
        <v>41275</v>
      </c>
      <c r="L53" s="2">
        <f>SUM(Tabla1[[#This Row],[Serv. Culturales Derecho Hab Publ]:[Soci Comedores Pensionados Jubl]])</f>
        <v>227349</v>
      </c>
    </row>
    <row r="54" spans="1:12" x14ac:dyDescent="0.3">
      <c r="A54" s="2">
        <v>2018</v>
      </c>
      <c r="B54" t="s">
        <v>10</v>
      </c>
      <c r="C54" s="2">
        <v>140786</v>
      </c>
      <c r="D54" s="2">
        <v>72045</v>
      </c>
      <c r="E54" s="2">
        <v>0</v>
      </c>
      <c r="F54" s="2">
        <v>101</v>
      </c>
      <c r="G54" s="2">
        <v>1898</v>
      </c>
      <c r="H54" s="2">
        <v>3440</v>
      </c>
      <c r="I54" s="2">
        <v>7624</v>
      </c>
      <c r="J54" s="2">
        <v>0</v>
      </c>
      <c r="K54" s="1">
        <v>43101</v>
      </c>
      <c r="L54" s="2">
        <f>SUM(Tabla1[[#This Row],[Serv. Culturales Derecho Hab Publ]:[Soci Comedores Pensionados Jubl]])</f>
        <v>225894</v>
      </c>
    </row>
    <row r="55" spans="1:12" x14ac:dyDescent="0.3">
      <c r="A55" s="2">
        <v>2017</v>
      </c>
      <c r="B55" t="s">
        <v>51</v>
      </c>
      <c r="C55" s="2">
        <v>107583</v>
      </c>
      <c r="D55" s="2">
        <v>74792</v>
      </c>
      <c r="E55" s="2">
        <v>0</v>
      </c>
      <c r="F55" s="2">
        <v>85</v>
      </c>
      <c r="G55" s="2">
        <v>15801</v>
      </c>
      <c r="H55" s="2">
        <v>15518</v>
      </c>
      <c r="I55" s="2">
        <v>11441</v>
      </c>
      <c r="J55" s="2">
        <v>0</v>
      </c>
      <c r="K55" s="1">
        <v>42736</v>
      </c>
      <c r="L55" s="2">
        <f>SUM(Tabla1[[#This Row],[Serv. Culturales Derecho Hab Publ]:[Soci Comedores Pensionados Jubl]])</f>
        <v>225220</v>
      </c>
    </row>
    <row r="56" spans="1:12" x14ac:dyDescent="0.3">
      <c r="A56" s="2">
        <v>2018</v>
      </c>
      <c r="B56" t="s">
        <v>3</v>
      </c>
      <c r="C56" s="2">
        <v>79543</v>
      </c>
      <c r="D56" s="2">
        <v>74767</v>
      </c>
      <c r="E56" s="2">
        <v>0</v>
      </c>
      <c r="F56" s="2">
        <v>36</v>
      </c>
      <c r="G56" s="2">
        <v>45159</v>
      </c>
      <c r="H56" s="2">
        <v>17750</v>
      </c>
      <c r="I56" s="2">
        <v>6397</v>
      </c>
      <c r="J56" s="2">
        <v>0</v>
      </c>
      <c r="K56" s="1">
        <v>43101</v>
      </c>
      <c r="L56" s="2">
        <f>SUM(Tabla1[[#This Row],[Serv. Culturales Derecho Hab Publ]:[Soci Comedores Pensionados Jubl]])</f>
        <v>223652</v>
      </c>
    </row>
    <row r="57" spans="1:12" x14ac:dyDescent="0.3">
      <c r="A57" s="2">
        <v>2018</v>
      </c>
      <c r="B57" t="s">
        <v>54</v>
      </c>
      <c r="C57" s="2">
        <v>38482</v>
      </c>
      <c r="D57" s="2">
        <v>94959</v>
      </c>
      <c r="E57" s="2">
        <v>0</v>
      </c>
      <c r="F57" s="2">
        <v>33</v>
      </c>
      <c r="G57" s="2">
        <v>11383</v>
      </c>
      <c r="H57" s="2">
        <v>56269</v>
      </c>
      <c r="I57" s="2">
        <v>19063</v>
      </c>
      <c r="J57" s="2">
        <v>0</v>
      </c>
      <c r="K57" s="1">
        <v>43101</v>
      </c>
      <c r="L57" s="2">
        <f>SUM(Tabla1[[#This Row],[Serv. Culturales Derecho Hab Publ]:[Soci Comedores Pensionados Jubl]])</f>
        <v>220189</v>
      </c>
    </row>
    <row r="58" spans="1:12" x14ac:dyDescent="0.3">
      <c r="A58" s="2">
        <v>2019</v>
      </c>
      <c r="B58" t="s">
        <v>3</v>
      </c>
      <c r="C58" s="2">
        <v>80616</v>
      </c>
      <c r="D58" s="2">
        <v>74648</v>
      </c>
      <c r="E58" s="2">
        <v>0</v>
      </c>
      <c r="F58" s="2">
        <v>28</v>
      </c>
      <c r="G58" s="2">
        <v>40751</v>
      </c>
      <c r="H58" s="2">
        <v>15194</v>
      </c>
      <c r="I58" s="2">
        <v>7592</v>
      </c>
      <c r="J58" s="2">
        <v>0</v>
      </c>
      <c r="K58" s="1">
        <v>43466</v>
      </c>
      <c r="L58" s="2">
        <f>SUM(Tabla1[[#This Row],[Serv. Culturales Derecho Hab Publ]:[Soci Comedores Pensionados Jubl]])</f>
        <v>218829</v>
      </c>
    </row>
    <row r="59" spans="1:12" x14ac:dyDescent="0.3">
      <c r="A59" s="2">
        <v>2019</v>
      </c>
      <c r="B59" t="s">
        <v>10</v>
      </c>
      <c r="C59" s="2">
        <v>130797</v>
      </c>
      <c r="D59" s="2">
        <v>72759</v>
      </c>
      <c r="E59" s="2">
        <v>0</v>
      </c>
      <c r="F59" s="2">
        <v>98</v>
      </c>
      <c r="G59" s="2">
        <v>1848</v>
      </c>
      <c r="H59" s="2">
        <v>3244</v>
      </c>
      <c r="I59" s="2">
        <v>8325</v>
      </c>
      <c r="J59" s="2">
        <v>0</v>
      </c>
      <c r="K59" s="1">
        <v>43466</v>
      </c>
      <c r="L59" s="2">
        <f>SUM(Tabla1[[#This Row],[Serv. Culturales Derecho Hab Publ]:[Soci Comedores Pensionados Jubl]])</f>
        <v>217071</v>
      </c>
    </row>
    <row r="60" spans="1:12" x14ac:dyDescent="0.3">
      <c r="A60" s="2">
        <v>2014</v>
      </c>
      <c r="B60" t="s">
        <v>58</v>
      </c>
      <c r="C60" s="2">
        <v>91827</v>
      </c>
      <c r="D60" s="2">
        <v>70010</v>
      </c>
      <c r="E60" s="2">
        <v>0</v>
      </c>
      <c r="F60" s="2">
        <v>0</v>
      </c>
      <c r="G60" s="2">
        <v>10472</v>
      </c>
      <c r="H60" s="2">
        <v>25621</v>
      </c>
      <c r="I60" s="2">
        <v>16516</v>
      </c>
      <c r="J60" s="2">
        <v>0</v>
      </c>
      <c r="K60" s="1">
        <v>41640</v>
      </c>
      <c r="L60" s="2">
        <f>SUM(Tabla1[[#This Row],[Serv. Culturales Derecho Hab Publ]:[Soci Comedores Pensionados Jubl]])</f>
        <v>214446</v>
      </c>
    </row>
    <row r="61" spans="1:12" x14ac:dyDescent="0.3">
      <c r="A61" s="2">
        <v>2018</v>
      </c>
      <c r="B61" t="s">
        <v>51</v>
      </c>
      <c r="C61" s="2">
        <v>93107</v>
      </c>
      <c r="D61" s="2">
        <v>75352</v>
      </c>
      <c r="E61" s="2">
        <v>0</v>
      </c>
      <c r="F61" s="2">
        <v>92</v>
      </c>
      <c r="G61" s="2">
        <v>14637</v>
      </c>
      <c r="H61" s="2">
        <v>17458</v>
      </c>
      <c r="I61" s="2">
        <v>13794</v>
      </c>
      <c r="J61" s="2">
        <v>0</v>
      </c>
      <c r="K61" s="1">
        <v>43101</v>
      </c>
      <c r="L61" s="2">
        <f>SUM(Tabla1[[#This Row],[Serv. Culturales Derecho Hab Publ]:[Soci Comedores Pensionados Jubl]])</f>
        <v>214440</v>
      </c>
    </row>
    <row r="62" spans="1:12" x14ac:dyDescent="0.3">
      <c r="A62" s="2">
        <v>2013</v>
      </c>
      <c r="B62" t="s">
        <v>58</v>
      </c>
      <c r="C62" s="2">
        <v>116369</v>
      </c>
      <c r="D62" s="2">
        <v>67913</v>
      </c>
      <c r="E62" s="2">
        <v>0</v>
      </c>
      <c r="F62" s="2">
        <v>0</v>
      </c>
      <c r="G62" s="2">
        <v>5919</v>
      </c>
      <c r="H62" s="2">
        <v>16094</v>
      </c>
      <c r="I62" s="2">
        <v>7203</v>
      </c>
      <c r="J62" s="2">
        <v>0</v>
      </c>
      <c r="K62" s="1">
        <v>41275</v>
      </c>
      <c r="L62" s="2">
        <f>SUM(Tabla1[[#This Row],[Serv. Culturales Derecho Hab Publ]:[Soci Comedores Pensionados Jubl]])</f>
        <v>213498</v>
      </c>
    </row>
    <row r="63" spans="1:12" x14ac:dyDescent="0.3">
      <c r="A63" s="2">
        <v>2017</v>
      </c>
      <c r="B63" t="s">
        <v>3</v>
      </c>
      <c r="C63" s="2">
        <v>75566</v>
      </c>
      <c r="D63" s="2">
        <v>68053</v>
      </c>
      <c r="E63" s="2">
        <v>0</v>
      </c>
      <c r="F63" s="2">
        <v>10</v>
      </c>
      <c r="G63" s="2">
        <v>43535</v>
      </c>
      <c r="H63" s="2">
        <v>15165</v>
      </c>
      <c r="I63" s="2">
        <v>6089</v>
      </c>
      <c r="J63" s="2">
        <v>0</v>
      </c>
      <c r="K63" s="1">
        <v>42736</v>
      </c>
      <c r="L63" s="2">
        <f>SUM(Tabla1[[#This Row],[Serv. Culturales Derecho Hab Publ]:[Soci Comedores Pensionados Jubl]])</f>
        <v>208418</v>
      </c>
    </row>
    <row r="64" spans="1:12" x14ac:dyDescent="0.3">
      <c r="A64" s="2">
        <v>2019</v>
      </c>
      <c r="B64" t="s">
        <v>47</v>
      </c>
      <c r="C64" s="2">
        <v>159861</v>
      </c>
      <c r="D64" s="2">
        <v>33884</v>
      </c>
      <c r="E64" s="2">
        <v>0</v>
      </c>
      <c r="F64" s="2">
        <v>3</v>
      </c>
      <c r="G64" s="2">
        <v>4667</v>
      </c>
      <c r="H64" s="2">
        <v>5093</v>
      </c>
      <c r="I64" s="2">
        <v>4885</v>
      </c>
      <c r="J64" s="2">
        <v>0</v>
      </c>
      <c r="K64" s="1">
        <v>43466</v>
      </c>
      <c r="L64" s="2">
        <f>SUM(Tabla1[[#This Row],[Serv. Culturales Derecho Hab Publ]:[Soci Comedores Pensionados Jubl]])</f>
        <v>208393</v>
      </c>
    </row>
    <row r="65" spans="1:12" x14ac:dyDescent="0.3">
      <c r="A65" s="2">
        <v>2017</v>
      </c>
      <c r="B65" t="s">
        <v>10</v>
      </c>
      <c r="C65" s="2">
        <v>121807</v>
      </c>
      <c r="D65" s="2">
        <v>72504</v>
      </c>
      <c r="E65" s="2">
        <v>0</v>
      </c>
      <c r="F65" s="2">
        <v>81</v>
      </c>
      <c r="G65" s="2">
        <v>1583</v>
      </c>
      <c r="H65" s="2">
        <v>2427</v>
      </c>
      <c r="I65" s="2">
        <v>8543</v>
      </c>
      <c r="J65" s="2">
        <v>0</v>
      </c>
      <c r="K65" s="1">
        <v>42736</v>
      </c>
      <c r="L65" s="2">
        <f>SUM(Tabla1[[#This Row],[Serv. Culturales Derecho Hab Publ]:[Soci Comedores Pensionados Jubl]])</f>
        <v>206945</v>
      </c>
    </row>
    <row r="66" spans="1:12" x14ac:dyDescent="0.3">
      <c r="A66" s="2">
        <v>2019</v>
      </c>
      <c r="B66" t="s">
        <v>52</v>
      </c>
      <c r="C66" s="2">
        <v>127697</v>
      </c>
      <c r="D66" s="2">
        <v>48880</v>
      </c>
      <c r="E66" s="2">
        <v>0</v>
      </c>
      <c r="F66" s="2">
        <v>3751</v>
      </c>
      <c r="G66" s="2">
        <v>2787</v>
      </c>
      <c r="H66" s="2">
        <v>14430</v>
      </c>
      <c r="I66" s="2">
        <v>3094</v>
      </c>
      <c r="J66" s="2">
        <v>0</v>
      </c>
      <c r="K66" s="1">
        <v>43466</v>
      </c>
      <c r="L66" s="2">
        <f>SUM(Tabla1[[#This Row],[Serv. Culturales Derecho Hab Publ]:[Soci Comedores Pensionados Jubl]])</f>
        <v>200639</v>
      </c>
    </row>
    <row r="67" spans="1:12" x14ac:dyDescent="0.3">
      <c r="A67" s="2">
        <v>2013</v>
      </c>
      <c r="B67" t="s">
        <v>10</v>
      </c>
      <c r="C67" s="2">
        <v>111194</v>
      </c>
      <c r="D67" s="2">
        <v>79355</v>
      </c>
      <c r="E67" s="2">
        <v>0</v>
      </c>
      <c r="F67" s="2">
        <v>74</v>
      </c>
      <c r="G67" s="2">
        <v>1114</v>
      </c>
      <c r="H67" s="2">
        <v>2835</v>
      </c>
      <c r="I67" s="2">
        <v>5566</v>
      </c>
      <c r="J67" s="2">
        <v>0</v>
      </c>
      <c r="K67" s="1">
        <v>41275</v>
      </c>
      <c r="L67" s="2">
        <f>SUM(Tabla1[[#This Row],[Serv. Culturales Derecho Hab Publ]:[Soci Comedores Pensionados Jubl]])</f>
        <v>200138</v>
      </c>
    </row>
    <row r="68" spans="1:12" x14ac:dyDescent="0.3">
      <c r="A68" s="2">
        <v>2014</v>
      </c>
      <c r="B68" t="s">
        <v>10</v>
      </c>
      <c r="C68" s="2">
        <v>118420</v>
      </c>
      <c r="D68" s="2">
        <v>70442</v>
      </c>
      <c r="E68" s="2">
        <v>0</v>
      </c>
      <c r="F68" s="2">
        <v>74</v>
      </c>
      <c r="G68" s="2">
        <v>1226</v>
      </c>
      <c r="H68" s="2">
        <v>2188</v>
      </c>
      <c r="I68" s="2">
        <v>7406</v>
      </c>
      <c r="J68" s="2">
        <v>0</v>
      </c>
      <c r="K68" s="1">
        <v>41640</v>
      </c>
      <c r="L68" s="2">
        <f>SUM(Tabla1[[#This Row],[Serv. Culturales Derecho Hab Publ]:[Soci Comedores Pensionados Jubl]])</f>
        <v>199756</v>
      </c>
    </row>
    <row r="69" spans="1:12" x14ac:dyDescent="0.3">
      <c r="A69" s="2">
        <v>2015</v>
      </c>
      <c r="B69" t="s">
        <v>58</v>
      </c>
      <c r="C69" s="2">
        <v>67770</v>
      </c>
      <c r="D69" s="2">
        <v>73085</v>
      </c>
      <c r="E69" s="2">
        <v>0</v>
      </c>
      <c r="F69" s="2">
        <v>54</v>
      </c>
      <c r="G69" s="2">
        <v>12486</v>
      </c>
      <c r="H69" s="2">
        <v>37665</v>
      </c>
      <c r="I69" s="2">
        <v>5704</v>
      </c>
      <c r="J69" s="2">
        <v>0</v>
      </c>
      <c r="K69" s="1">
        <v>42005</v>
      </c>
      <c r="L69" s="2">
        <f>SUM(Tabla1[[#This Row],[Serv. Culturales Derecho Hab Publ]:[Soci Comedores Pensionados Jubl]])</f>
        <v>196764</v>
      </c>
    </row>
    <row r="70" spans="1:12" x14ac:dyDescent="0.3">
      <c r="A70" s="2">
        <v>2013</v>
      </c>
      <c r="B70" t="s">
        <v>3</v>
      </c>
      <c r="C70" s="2">
        <v>65886</v>
      </c>
      <c r="D70" s="2">
        <v>92230</v>
      </c>
      <c r="E70" s="2">
        <v>0</v>
      </c>
      <c r="F70" s="2">
        <v>4</v>
      </c>
      <c r="G70" s="2">
        <v>9635</v>
      </c>
      <c r="H70" s="2">
        <v>16641</v>
      </c>
      <c r="I70" s="2">
        <v>11413</v>
      </c>
      <c r="J70" s="2">
        <v>0</v>
      </c>
      <c r="K70" s="1">
        <v>41275</v>
      </c>
      <c r="L70" s="2">
        <f>SUM(Tabla1[[#This Row],[Serv. Culturales Derecho Hab Publ]:[Soci Comedores Pensionados Jubl]])</f>
        <v>195809</v>
      </c>
    </row>
    <row r="71" spans="1:12" x14ac:dyDescent="0.3">
      <c r="A71" s="2">
        <v>2016</v>
      </c>
      <c r="B71" t="s">
        <v>46</v>
      </c>
      <c r="C71" s="2">
        <v>176504</v>
      </c>
      <c r="D71" s="2">
        <v>0</v>
      </c>
      <c r="E71" s="2">
        <v>0</v>
      </c>
      <c r="F71" s="2">
        <v>0</v>
      </c>
      <c r="G71" s="2">
        <v>5180</v>
      </c>
      <c r="H71" s="2">
        <v>2740</v>
      </c>
      <c r="I71" s="2">
        <v>9969</v>
      </c>
      <c r="J71" s="2">
        <v>0</v>
      </c>
      <c r="K71" s="1">
        <v>42370</v>
      </c>
      <c r="L71" s="2">
        <f>SUM(Tabla1[[#This Row],[Serv. Culturales Derecho Hab Publ]:[Soci Comedores Pensionados Jubl]])</f>
        <v>194393</v>
      </c>
    </row>
    <row r="72" spans="1:12" x14ac:dyDescent="0.3">
      <c r="A72" s="2">
        <v>2013</v>
      </c>
      <c r="B72" t="s">
        <v>48</v>
      </c>
      <c r="C72" s="2">
        <v>133369</v>
      </c>
      <c r="D72" s="2">
        <v>33175</v>
      </c>
      <c r="E72" s="2">
        <v>0</v>
      </c>
      <c r="F72" s="2">
        <v>2376</v>
      </c>
      <c r="G72" s="2">
        <v>9970</v>
      </c>
      <c r="H72" s="2">
        <v>2236</v>
      </c>
      <c r="I72" s="2">
        <v>11513</v>
      </c>
      <c r="J72" s="2">
        <v>0</v>
      </c>
      <c r="K72" s="1">
        <v>41275</v>
      </c>
      <c r="L72" s="2">
        <f>SUM(Tabla1[[#This Row],[Serv. Culturales Derecho Hab Publ]:[Soci Comedores Pensionados Jubl]])</f>
        <v>192639</v>
      </c>
    </row>
    <row r="73" spans="1:12" x14ac:dyDescent="0.3">
      <c r="A73" s="2">
        <v>2015</v>
      </c>
      <c r="B73" t="s">
        <v>10</v>
      </c>
      <c r="C73" s="2">
        <v>106996</v>
      </c>
      <c r="D73" s="2">
        <v>71296</v>
      </c>
      <c r="E73" s="2">
        <v>0</v>
      </c>
      <c r="F73" s="2">
        <v>58</v>
      </c>
      <c r="G73" s="2">
        <v>1319</v>
      </c>
      <c r="H73" s="2">
        <v>1748</v>
      </c>
      <c r="I73" s="2">
        <v>9879</v>
      </c>
      <c r="J73" s="2">
        <v>0</v>
      </c>
      <c r="K73" s="1">
        <v>42005</v>
      </c>
      <c r="L73" s="2">
        <f>SUM(Tabla1[[#This Row],[Serv. Culturales Derecho Hab Publ]:[Soci Comedores Pensionados Jubl]])</f>
        <v>191296</v>
      </c>
    </row>
    <row r="74" spans="1:12" x14ac:dyDescent="0.3">
      <c r="A74" s="2">
        <v>2013</v>
      </c>
      <c r="B74" t="s">
        <v>21</v>
      </c>
      <c r="C74" s="2">
        <v>132736</v>
      </c>
      <c r="D74" s="2">
        <v>25324</v>
      </c>
      <c r="E74" s="2">
        <v>0</v>
      </c>
      <c r="F74" s="2">
        <v>78</v>
      </c>
      <c r="G74" s="2">
        <v>7757</v>
      </c>
      <c r="H74" s="2">
        <v>2796</v>
      </c>
      <c r="I74" s="2">
        <v>21951</v>
      </c>
      <c r="J74" s="2">
        <v>0</v>
      </c>
      <c r="K74" s="1">
        <v>41275</v>
      </c>
      <c r="L74" s="2">
        <f>SUM(Tabla1[[#This Row],[Serv. Culturales Derecho Hab Publ]:[Soci Comedores Pensionados Jubl]])</f>
        <v>190642</v>
      </c>
    </row>
    <row r="75" spans="1:12" x14ac:dyDescent="0.3">
      <c r="A75" s="2">
        <v>2019</v>
      </c>
      <c r="B75" t="s">
        <v>7</v>
      </c>
      <c r="C75" s="2">
        <v>100926</v>
      </c>
      <c r="D75" s="2">
        <v>46468</v>
      </c>
      <c r="E75" s="2">
        <v>0</v>
      </c>
      <c r="F75" s="2">
        <v>73</v>
      </c>
      <c r="G75" s="2">
        <v>22368</v>
      </c>
      <c r="H75" s="2">
        <v>13140</v>
      </c>
      <c r="I75" s="2">
        <v>7245</v>
      </c>
      <c r="J75" s="2">
        <v>0</v>
      </c>
      <c r="K75" s="1">
        <v>43466</v>
      </c>
      <c r="L75" s="2">
        <f>SUM(Tabla1[[#This Row],[Serv. Culturales Derecho Hab Publ]:[Soci Comedores Pensionados Jubl]])</f>
        <v>190220</v>
      </c>
    </row>
    <row r="76" spans="1:12" x14ac:dyDescent="0.3">
      <c r="A76" s="2">
        <v>2018</v>
      </c>
      <c r="B76" t="s">
        <v>7</v>
      </c>
      <c r="C76" s="2">
        <v>98725</v>
      </c>
      <c r="D76" s="2">
        <v>44913</v>
      </c>
      <c r="E76" s="2">
        <v>0</v>
      </c>
      <c r="F76" s="2">
        <v>84</v>
      </c>
      <c r="G76" s="2">
        <v>21983</v>
      </c>
      <c r="H76" s="2">
        <v>12680</v>
      </c>
      <c r="I76" s="2">
        <v>11056</v>
      </c>
      <c r="J76" s="2">
        <v>0</v>
      </c>
      <c r="K76" s="1">
        <v>43101</v>
      </c>
      <c r="L76" s="2">
        <f>SUM(Tabla1[[#This Row],[Serv. Culturales Derecho Hab Publ]:[Soci Comedores Pensionados Jubl]])</f>
        <v>189441</v>
      </c>
    </row>
    <row r="77" spans="1:12" x14ac:dyDescent="0.3">
      <c r="A77" s="2">
        <v>2015</v>
      </c>
      <c r="B77" t="s">
        <v>47</v>
      </c>
      <c r="C77" s="2">
        <v>67161</v>
      </c>
      <c r="D77" s="2">
        <v>29015</v>
      </c>
      <c r="E77" s="2">
        <v>0</v>
      </c>
      <c r="F77" s="2">
        <v>0</v>
      </c>
      <c r="G77" s="2">
        <v>32440</v>
      </c>
      <c r="H77" s="2">
        <v>2094</v>
      </c>
      <c r="I77" s="2">
        <v>58308</v>
      </c>
      <c r="J77" s="2">
        <v>0</v>
      </c>
      <c r="K77" s="1">
        <v>42005</v>
      </c>
      <c r="L77" s="2">
        <f>SUM(Tabla1[[#This Row],[Serv. Culturales Derecho Hab Publ]:[Soci Comedores Pensionados Jubl]])</f>
        <v>189018</v>
      </c>
    </row>
    <row r="78" spans="1:12" x14ac:dyDescent="0.3">
      <c r="A78" s="2">
        <v>2016</v>
      </c>
      <c r="B78" t="s">
        <v>50</v>
      </c>
      <c r="C78" s="2">
        <v>162819</v>
      </c>
      <c r="D78" s="2">
        <v>0</v>
      </c>
      <c r="E78" s="2">
        <v>0</v>
      </c>
      <c r="F78" s="2">
        <v>0</v>
      </c>
      <c r="G78" s="2">
        <v>6998</v>
      </c>
      <c r="H78" s="2">
        <v>10099</v>
      </c>
      <c r="I78" s="2">
        <v>6811</v>
      </c>
      <c r="J78" s="2">
        <v>0</v>
      </c>
      <c r="K78" s="1">
        <v>42370</v>
      </c>
      <c r="L78" s="2">
        <f>SUM(Tabla1[[#This Row],[Serv. Culturales Derecho Hab Publ]:[Soci Comedores Pensionados Jubl]])</f>
        <v>186727</v>
      </c>
    </row>
    <row r="79" spans="1:12" x14ac:dyDescent="0.3">
      <c r="A79" s="2">
        <v>2014</v>
      </c>
      <c r="B79" t="s">
        <v>2</v>
      </c>
      <c r="C79" s="2">
        <v>87248</v>
      </c>
      <c r="D79" s="2">
        <v>75096</v>
      </c>
      <c r="E79" s="2">
        <v>0</v>
      </c>
      <c r="F79" s="2">
        <v>77</v>
      </c>
      <c r="G79" s="2">
        <v>6429</v>
      </c>
      <c r="H79" s="2">
        <v>5351</v>
      </c>
      <c r="I79" s="2">
        <v>10574</v>
      </c>
      <c r="J79" s="2">
        <v>0</v>
      </c>
      <c r="K79" s="1">
        <v>41640</v>
      </c>
      <c r="L79" s="2">
        <f>SUM(Tabla1[[#This Row],[Serv. Culturales Derecho Hab Publ]:[Soci Comedores Pensionados Jubl]])</f>
        <v>184775</v>
      </c>
    </row>
    <row r="80" spans="1:12" x14ac:dyDescent="0.3">
      <c r="A80" s="2">
        <v>2014</v>
      </c>
      <c r="B80" t="s">
        <v>6</v>
      </c>
      <c r="C80" s="2">
        <v>92443</v>
      </c>
      <c r="D80" s="2">
        <v>73046</v>
      </c>
      <c r="E80" s="2">
        <v>0</v>
      </c>
      <c r="F80" s="2">
        <v>240</v>
      </c>
      <c r="G80" s="2">
        <v>11127</v>
      </c>
      <c r="H80" s="2">
        <v>3363</v>
      </c>
      <c r="I80" s="2">
        <v>4237</v>
      </c>
      <c r="J80" s="2">
        <v>0</v>
      </c>
      <c r="K80" s="1">
        <v>41640</v>
      </c>
      <c r="L80" s="2">
        <f>SUM(Tabla1[[#This Row],[Serv. Culturales Derecho Hab Publ]:[Soci Comedores Pensionados Jubl]])</f>
        <v>184456</v>
      </c>
    </row>
    <row r="81" spans="1:12" x14ac:dyDescent="0.3">
      <c r="A81" s="2">
        <v>2019</v>
      </c>
      <c r="B81" t="s">
        <v>54</v>
      </c>
      <c r="C81" s="2">
        <v>25401</v>
      </c>
      <c r="D81" s="2">
        <v>87897</v>
      </c>
      <c r="E81" s="2">
        <v>0</v>
      </c>
      <c r="F81" s="2">
        <v>30</v>
      </c>
      <c r="G81" s="2">
        <v>9439</v>
      </c>
      <c r="H81" s="2">
        <v>49834</v>
      </c>
      <c r="I81" s="2">
        <v>9752</v>
      </c>
      <c r="J81" s="2">
        <v>0</v>
      </c>
      <c r="K81" s="1">
        <v>43466</v>
      </c>
      <c r="L81" s="2">
        <f>SUM(Tabla1[[#This Row],[Serv. Culturales Derecho Hab Publ]:[Soci Comedores Pensionados Jubl]])</f>
        <v>182353</v>
      </c>
    </row>
    <row r="82" spans="1:12" x14ac:dyDescent="0.3">
      <c r="A82" s="2">
        <v>2018</v>
      </c>
      <c r="B82" t="s">
        <v>19</v>
      </c>
      <c r="C82" s="2">
        <v>116693</v>
      </c>
      <c r="D82" s="2">
        <v>27354</v>
      </c>
      <c r="E82" s="2">
        <v>0</v>
      </c>
      <c r="F82" s="2">
        <v>117</v>
      </c>
      <c r="G82" s="2">
        <v>5760</v>
      </c>
      <c r="H82" s="2">
        <v>8280</v>
      </c>
      <c r="I82" s="2">
        <v>22470</v>
      </c>
      <c r="J82" s="2">
        <v>0</v>
      </c>
      <c r="K82" s="1">
        <v>43101</v>
      </c>
      <c r="L82" s="2">
        <f>SUM(Tabla1[[#This Row],[Serv. Culturales Derecho Hab Publ]:[Soci Comedores Pensionados Jubl]])</f>
        <v>180674</v>
      </c>
    </row>
    <row r="83" spans="1:12" x14ac:dyDescent="0.3">
      <c r="A83" s="2">
        <v>2017</v>
      </c>
      <c r="B83" t="s">
        <v>2</v>
      </c>
      <c r="C83" s="2">
        <v>76202</v>
      </c>
      <c r="D83" s="2">
        <v>75016</v>
      </c>
      <c r="E83" s="2">
        <v>0</v>
      </c>
      <c r="F83" s="2">
        <v>71</v>
      </c>
      <c r="G83" s="2">
        <v>6956</v>
      </c>
      <c r="H83" s="2">
        <v>5394</v>
      </c>
      <c r="I83" s="2">
        <v>16876</v>
      </c>
      <c r="J83" s="2">
        <v>0</v>
      </c>
      <c r="K83" s="1">
        <v>42736</v>
      </c>
      <c r="L83" s="2">
        <f>SUM(Tabla1[[#This Row],[Serv. Culturales Derecho Hab Publ]:[Soci Comedores Pensionados Jubl]])</f>
        <v>180515</v>
      </c>
    </row>
    <row r="84" spans="1:12" x14ac:dyDescent="0.3">
      <c r="A84" s="2">
        <v>2017</v>
      </c>
      <c r="B84" t="s">
        <v>6</v>
      </c>
      <c r="C84" s="2">
        <v>79465</v>
      </c>
      <c r="D84" s="2">
        <v>71098</v>
      </c>
      <c r="E84" s="2">
        <v>0</v>
      </c>
      <c r="F84" s="2">
        <v>180</v>
      </c>
      <c r="G84" s="2">
        <v>13584</v>
      </c>
      <c r="H84" s="2">
        <v>3363</v>
      </c>
      <c r="I84" s="2">
        <v>11802</v>
      </c>
      <c r="J84" s="2">
        <v>0</v>
      </c>
      <c r="K84" s="1">
        <v>42736</v>
      </c>
      <c r="L84" s="2">
        <f>SUM(Tabla1[[#This Row],[Serv. Culturales Derecho Hab Publ]:[Soci Comedores Pensionados Jubl]])</f>
        <v>179492</v>
      </c>
    </row>
    <row r="85" spans="1:12" x14ac:dyDescent="0.3">
      <c r="A85" s="2">
        <v>2013</v>
      </c>
      <c r="B85" t="s">
        <v>2</v>
      </c>
      <c r="C85" s="2">
        <v>85376</v>
      </c>
      <c r="D85" s="2">
        <v>71675</v>
      </c>
      <c r="E85" s="2">
        <v>0</v>
      </c>
      <c r="F85" s="2">
        <v>82</v>
      </c>
      <c r="G85" s="2">
        <v>5583</v>
      </c>
      <c r="H85" s="2">
        <v>5330</v>
      </c>
      <c r="I85" s="2">
        <v>10283</v>
      </c>
      <c r="J85" s="2">
        <v>0</v>
      </c>
      <c r="K85" s="1">
        <v>41275</v>
      </c>
      <c r="L85" s="2">
        <f>SUM(Tabla1[[#This Row],[Serv. Culturales Derecho Hab Publ]:[Soci Comedores Pensionados Jubl]])</f>
        <v>178329</v>
      </c>
    </row>
    <row r="86" spans="1:12" x14ac:dyDescent="0.3">
      <c r="A86" s="2">
        <v>2019</v>
      </c>
      <c r="B86" t="s">
        <v>48</v>
      </c>
      <c r="C86" s="2">
        <v>98414</v>
      </c>
      <c r="D86" s="2">
        <v>65121</v>
      </c>
      <c r="E86" s="2">
        <v>0</v>
      </c>
      <c r="F86" s="2">
        <v>1797</v>
      </c>
      <c r="G86" s="2">
        <v>2517</v>
      </c>
      <c r="H86" s="2">
        <v>4241</v>
      </c>
      <c r="I86" s="2">
        <v>5790</v>
      </c>
      <c r="J86" s="2">
        <v>0</v>
      </c>
      <c r="K86" s="1">
        <v>43466</v>
      </c>
      <c r="L86" s="2">
        <f>SUM(Tabla1[[#This Row],[Serv. Culturales Derecho Hab Publ]:[Soci Comedores Pensionados Jubl]])</f>
        <v>177880</v>
      </c>
    </row>
    <row r="87" spans="1:12" x14ac:dyDescent="0.3">
      <c r="A87" s="2">
        <v>2015</v>
      </c>
      <c r="B87" t="s">
        <v>48</v>
      </c>
      <c r="C87" s="2">
        <v>114666</v>
      </c>
      <c r="D87" s="2">
        <v>34915</v>
      </c>
      <c r="E87" s="2">
        <v>0</v>
      </c>
      <c r="F87" s="2">
        <v>2745</v>
      </c>
      <c r="G87" s="2">
        <v>10644</v>
      </c>
      <c r="H87" s="2">
        <v>2371</v>
      </c>
      <c r="I87" s="2">
        <v>11766</v>
      </c>
      <c r="J87" s="2">
        <v>0</v>
      </c>
      <c r="K87" s="1">
        <v>42005</v>
      </c>
      <c r="L87" s="2">
        <f>SUM(Tabla1[[#This Row],[Serv. Culturales Derecho Hab Publ]:[Soci Comedores Pensionados Jubl]])</f>
        <v>177107</v>
      </c>
    </row>
    <row r="88" spans="1:12" x14ac:dyDescent="0.3">
      <c r="A88" s="2">
        <v>2017</v>
      </c>
      <c r="B88" t="s">
        <v>7</v>
      </c>
      <c r="C88" s="2">
        <v>89897</v>
      </c>
      <c r="D88" s="2">
        <v>43832</v>
      </c>
      <c r="E88" s="2">
        <v>0</v>
      </c>
      <c r="F88" s="2">
        <v>64</v>
      </c>
      <c r="G88" s="2">
        <v>22291</v>
      </c>
      <c r="H88" s="2">
        <v>12640</v>
      </c>
      <c r="I88" s="2">
        <v>7705</v>
      </c>
      <c r="J88" s="2">
        <v>0</v>
      </c>
      <c r="K88" s="1">
        <v>42736</v>
      </c>
      <c r="L88" s="2">
        <f>SUM(Tabla1[[#This Row],[Serv. Culturales Derecho Hab Publ]:[Soci Comedores Pensionados Jubl]])</f>
        <v>176429</v>
      </c>
    </row>
    <row r="89" spans="1:12" x14ac:dyDescent="0.3">
      <c r="A89" s="2">
        <v>2013</v>
      </c>
      <c r="B89" t="s">
        <v>8</v>
      </c>
      <c r="C89" s="2">
        <v>100270</v>
      </c>
      <c r="D89" s="2">
        <v>63099</v>
      </c>
      <c r="E89" s="2">
        <v>0</v>
      </c>
      <c r="F89" s="2">
        <v>64</v>
      </c>
      <c r="G89" s="2">
        <v>1320</v>
      </c>
      <c r="H89" s="2">
        <v>2450</v>
      </c>
      <c r="I89" s="2">
        <v>7530</v>
      </c>
      <c r="J89" s="2">
        <v>0</v>
      </c>
      <c r="K89" s="1">
        <v>41275</v>
      </c>
      <c r="L89" s="2">
        <f>SUM(Tabla1[[#This Row],[Serv. Culturales Derecho Hab Publ]:[Soci Comedores Pensionados Jubl]])</f>
        <v>174733</v>
      </c>
    </row>
    <row r="90" spans="1:12" x14ac:dyDescent="0.3">
      <c r="A90" s="2">
        <v>2013</v>
      </c>
      <c r="B90" t="s">
        <v>12</v>
      </c>
      <c r="C90" s="2">
        <v>144600</v>
      </c>
      <c r="D90" s="2">
        <v>16066</v>
      </c>
      <c r="E90" s="2">
        <v>0</v>
      </c>
      <c r="F90" s="2">
        <v>53</v>
      </c>
      <c r="G90" s="2">
        <v>1487</v>
      </c>
      <c r="H90" s="2">
        <v>5015</v>
      </c>
      <c r="I90" s="2">
        <v>6422</v>
      </c>
      <c r="J90" s="2">
        <v>0</v>
      </c>
      <c r="K90" s="1">
        <v>41275</v>
      </c>
      <c r="L90" s="2">
        <f>SUM(Tabla1[[#This Row],[Serv. Culturales Derecho Hab Publ]:[Soci Comedores Pensionados Jubl]])</f>
        <v>173643</v>
      </c>
    </row>
    <row r="91" spans="1:12" x14ac:dyDescent="0.3">
      <c r="A91" s="2">
        <v>2016</v>
      </c>
      <c r="B91" t="s">
        <v>28</v>
      </c>
      <c r="C91" s="2">
        <v>145297</v>
      </c>
      <c r="D91" s="2">
        <v>0</v>
      </c>
      <c r="E91" s="2">
        <v>0</v>
      </c>
      <c r="F91" s="2">
        <v>0</v>
      </c>
      <c r="G91" s="2">
        <v>6100</v>
      </c>
      <c r="H91" s="2">
        <v>11952</v>
      </c>
      <c r="I91" s="2">
        <v>9453</v>
      </c>
      <c r="J91" s="2">
        <v>0</v>
      </c>
      <c r="K91" s="1">
        <v>42370</v>
      </c>
      <c r="L91" s="2">
        <f>SUM(Tabla1[[#This Row],[Serv. Culturales Derecho Hab Publ]:[Soci Comedores Pensionados Jubl]])</f>
        <v>172802</v>
      </c>
    </row>
    <row r="92" spans="1:12" x14ac:dyDescent="0.3">
      <c r="A92" s="2">
        <v>2014</v>
      </c>
      <c r="B92" t="s">
        <v>48</v>
      </c>
      <c r="C92" s="2">
        <v>106619</v>
      </c>
      <c r="D92" s="2">
        <v>34983</v>
      </c>
      <c r="E92" s="2">
        <v>0</v>
      </c>
      <c r="F92" s="2">
        <v>2478</v>
      </c>
      <c r="G92" s="2">
        <v>10718</v>
      </c>
      <c r="H92" s="2">
        <v>2322</v>
      </c>
      <c r="I92" s="2">
        <v>12343</v>
      </c>
      <c r="J92" s="2">
        <v>0</v>
      </c>
      <c r="K92" s="1">
        <v>41640</v>
      </c>
      <c r="L92" s="2">
        <f>SUM(Tabla1[[#This Row],[Serv. Culturales Derecho Hab Publ]:[Soci Comedores Pensionados Jubl]])</f>
        <v>169463</v>
      </c>
    </row>
    <row r="93" spans="1:12" x14ac:dyDescent="0.3">
      <c r="A93" s="2">
        <v>2015</v>
      </c>
      <c r="B93" t="s">
        <v>21</v>
      </c>
      <c r="C93" s="2">
        <v>113562</v>
      </c>
      <c r="D93" s="2">
        <v>25819</v>
      </c>
      <c r="E93" s="2">
        <v>0</v>
      </c>
      <c r="F93" s="2">
        <v>119</v>
      </c>
      <c r="G93" s="2">
        <v>8598</v>
      </c>
      <c r="H93" s="2">
        <v>2958</v>
      </c>
      <c r="I93" s="2">
        <v>17652</v>
      </c>
      <c r="J93" s="2">
        <v>0</v>
      </c>
      <c r="K93" s="1">
        <v>42005</v>
      </c>
      <c r="L93" s="2">
        <f>SUM(Tabla1[[#This Row],[Serv. Culturales Derecho Hab Publ]:[Soci Comedores Pensionados Jubl]])</f>
        <v>168708</v>
      </c>
    </row>
    <row r="94" spans="1:12" x14ac:dyDescent="0.3">
      <c r="A94" s="2">
        <v>2015</v>
      </c>
      <c r="B94" t="s">
        <v>2</v>
      </c>
      <c r="C94" s="2">
        <v>74323</v>
      </c>
      <c r="D94" s="2">
        <v>72228</v>
      </c>
      <c r="E94" s="2">
        <v>0</v>
      </c>
      <c r="F94" s="2">
        <v>79</v>
      </c>
      <c r="G94" s="2">
        <v>6690</v>
      </c>
      <c r="H94" s="2">
        <v>5373</v>
      </c>
      <c r="I94" s="2">
        <v>9586</v>
      </c>
      <c r="J94" s="2">
        <v>0</v>
      </c>
      <c r="K94" s="1">
        <v>42005</v>
      </c>
      <c r="L94" s="2">
        <f>SUM(Tabla1[[#This Row],[Serv. Culturales Derecho Hab Publ]:[Soci Comedores Pensionados Jubl]])</f>
        <v>168279</v>
      </c>
    </row>
    <row r="95" spans="1:12" x14ac:dyDescent="0.3">
      <c r="A95" s="2">
        <v>2017</v>
      </c>
      <c r="B95" t="s">
        <v>19</v>
      </c>
      <c r="C95" s="2">
        <v>101825</v>
      </c>
      <c r="D95" s="2">
        <v>32865</v>
      </c>
      <c r="E95" s="2">
        <v>0</v>
      </c>
      <c r="F95" s="2">
        <v>126</v>
      </c>
      <c r="G95" s="2">
        <v>6830</v>
      </c>
      <c r="H95" s="2">
        <v>1175</v>
      </c>
      <c r="I95" s="2">
        <v>25155</v>
      </c>
      <c r="J95" s="2">
        <v>0</v>
      </c>
      <c r="K95" s="1">
        <v>42736</v>
      </c>
      <c r="L95" s="2">
        <f>SUM(Tabla1[[#This Row],[Serv. Culturales Derecho Hab Publ]:[Soci Comedores Pensionados Jubl]])</f>
        <v>167976</v>
      </c>
    </row>
    <row r="96" spans="1:12" x14ac:dyDescent="0.3">
      <c r="A96" s="2">
        <v>2019</v>
      </c>
      <c r="B96" t="s">
        <v>4</v>
      </c>
      <c r="C96" s="2">
        <v>69491</v>
      </c>
      <c r="D96" s="2">
        <v>64789</v>
      </c>
      <c r="E96" s="2">
        <v>0</v>
      </c>
      <c r="F96" s="2">
        <v>47</v>
      </c>
      <c r="G96" s="2">
        <v>10458</v>
      </c>
      <c r="H96" s="2">
        <v>10988</v>
      </c>
      <c r="I96" s="2">
        <v>11322</v>
      </c>
      <c r="J96" s="2">
        <v>0</v>
      </c>
      <c r="K96" s="1">
        <v>43466</v>
      </c>
      <c r="L96" s="2">
        <f>SUM(Tabla1[[#This Row],[Serv. Culturales Derecho Hab Publ]:[Soci Comedores Pensionados Jubl]])</f>
        <v>167095</v>
      </c>
    </row>
    <row r="97" spans="1:12" x14ac:dyDescent="0.3">
      <c r="A97" s="2">
        <v>2017</v>
      </c>
      <c r="B97" t="s">
        <v>11</v>
      </c>
      <c r="C97" s="2">
        <v>109999</v>
      </c>
      <c r="D97" s="2">
        <v>37416</v>
      </c>
      <c r="E97" s="2">
        <v>0</v>
      </c>
      <c r="F97" s="2">
        <v>152</v>
      </c>
      <c r="G97" s="2">
        <v>7872</v>
      </c>
      <c r="H97" s="2">
        <v>3197</v>
      </c>
      <c r="I97" s="2">
        <v>7792</v>
      </c>
      <c r="J97" s="2">
        <v>0</v>
      </c>
      <c r="K97" s="1">
        <v>42736</v>
      </c>
      <c r="L97" s="2">
        <f>SUM(Tabla1[[#This Row],[Serv. Culturales Derecho Hab Publ]:[Soci Comedores Pensionados Jubl]])</f>
        <v>166428</v>
      </c>
    </row>
    <row r="98" spans="1:12" x14ac:dyDescent="0.3">
      <c r="A98" s="2">
        <v>2015</v>
      </c>
      <c r="B98" t="s">
        <v>3</v>
      </c>
      <c r="C98" s="2">
        <v>59386</v>
      </c>
      <c r="D98" s="2">
        <v>71299</v>
      </c>
      <c r="E98" s="2">
        <v>0</v>
      </c>
      <c r="F98" s="2">
        <v>18</v>
      </c>
      <c r="G98" s="2">
        <v>8350</v>
      </c>
      <c r="H98" s="2">
        <v>15877</v>
      </c>
      <c r="I98" s="2">
        <v>10336</v>
      </c>
      <c r="J98" s="2">
        <v>0</v>
      </c>
      <c r="K98" s="1">
        <v>42005</v>
      </c>
      <c r="L98" s="2">
        <f>SUM(Tabla1[[#This Row],[Serv. Culturales Derecho Hab Publ]:[Soci Comedores Pensionados Jubl]])</f>
        <v>165266</v>
      </c>
    </row>
    <row r="99" spans="1:12" x14ac:dyDescent="0.3">
      <c r="A99" s="2">
        <v>2017</v>
      </c>
      <c r="B99" t="s">
        <v>54</v>
      </c>
      <c r="C99" s="2">
        <v>34875</v>
      </c>
      <c r="D99" s="2">
        <v>78460</v>
      </c>
      <c r="E99" s="2">
        <v>0</v>
      </c>
      <c r="F99" s="2">
        <v>147</v>
      </c>
      <c r="G99" s="2">
        <v>9902</v>
      </c>
      <c r="H99" s="2">
        <v>27179</v>
      </c>
      <c r="I99" s="2">
        <v>14663</v>
      </c>
      <c r="J99" s="2">
        <v>0</v>
      </c>
      <c r="K99" s="1">
        <v>42736</v>
      </c>
      <c r="L99" s="2">
        <f>SUM(Tabla1[[#This Row],[Serv. Culturales Derecho Hab Publ]:[Soci Comedores Pensionados Jubl]])</f>
        <v>165226</v>
      </c>
    </row>
    <row r="100" spans="1:12" x14ac:dyDescent="0.3">
      <c r="A100" s="2">
        <v>2018</v>
      </c>
      <c r="B100" t="s">
        <v>11</v>
      </c>
      <c r="C100" s="2">
        <v>107142</v>
      </c>
      <c r="D100" s="2">
        <v>36706</v>
      </c>
      <c r="E100" s="2">
        <v>0</v>
      </c>
      <c r="F100" s="2">
        <v>164</v>
      </c>
      <c r="G100" s="2">
        <v>9171</v>
      </c>
      <c r="H100" s="2">
        <v>3218</v>
      </c>
      <c r="I100" s="2">
        <v>7270</v>
      </c>
      <c r="J100" s="2">
        <v>0</v>
      </c>
      <c r="K100" s="1">
        <v>43101</v>
      </c>
      <c r="L100" s="2">
        <f>SUM(Tabla1[[#This Row],[Serv. Culturales Derecho Hab Publ]:[Soci Comedores Pensionados Jubl]])</f>
        <v>163671</v>
      </c>
    </row>
    <row r="101" spans="1:12" x14ac:dyDescent="0.3">
      <c r="A101" s="2">
        <v>2015</v>
      </c>
      <c r="B101" t="s">
        <v>7</v>
      </c>
      <c r="C101" s="2">
        <v>83066</v>
      </c>
      <c r="D101" s="2">
        <v>51576</v>
      </c>
      <c r="E101" s="2">
        <v>0</v>
      </c>
      <c r="F101" s="2">
        <v>30</v>
      </c>
      <c r="G101" s="2">
        <v>8356</v>
      </c>
      <c r="H101" s="2">
        <v>10380</v>
      </c>
      <c r="I101" s="2">
        <v>9561</v>
      </c>
      <c r="J101" s="2">
        <v>0</v>
      </c>
      <c r="K101" s="1">
        <v>42005</v>
      </c>
      <c r="L101" s="2">
        <f>SUM(Tabla1[[#This Row],[Serv. Culturales Derecho Hab Publ]:[Soci Comedores Pensionados Jubl]])</f>
        <v>162969</v>
      </c>
    </row>
    <row r="102" spans="1:12" x14ac:dyDescent="0.3">
      <c r="A102" s="2">
        <v>2014</v>
      </c>
      <c r="B102" t="s">
        <v>21</v>
      </c>
      <c r="C102" s="2">
        <v>108344</v>
      </c>
      <c r="D102" s="2">
        <v>25534</v>
      </c>
      <c r="E102" s="2">
        <v>0</v>
      </c>
      <c r="F102" s="2">
        <v>115</v>
      </c>
      <c r="G102" s="2">
        <v>7377</v>
      </c>
      <c r="H102" s="2">
        <v>2826</v>
      </c>
      <c r="I102" s="2">
        <v>18713</v>
      </c>
      <c r="J102" s="2">
        <v>0</v>
      </c>
      <c r="K102" s="1">
        <v>41640</v>
      </c>
      <c r="L102" s="2">
        <f>SUM(Tabla1[[#This Row],[Serv. Culturales Derecho Hab Publ]:[Soci Comedores Pensionados Jubl]])</f>
        <v>162909</v>
      </c>
    </row>
    <row r="103" spans="1:12" x14ac:dyDescent="0.3">
      <c r="A103" s="2">
        <v>2013</v>
      </c>
      <c r="B103" t="s">
        <v>7</v>
      </c>
      <c r="C103" s="2">
        <v>88495</v>
      </c>
      <c r="D103" s="2">
        <v>56697</v>
      </c>
      <c r="E103" s="2">
        <v>0</v>
      </c>
      <c r="F103" s="2">
        <v>22</v>
      </c>
      <c r="G103" s="2">
        <v>1795</v>
      </c>
      <c r="H103" s="2">
        <v>10806</v>
      </c>
      <c r="I103" s="2">
        <v>4091</v>
      </c>
      <c r="J103" s="2">
        <v>0</v>
      </c>
      <c r="K103" s="1">
        <v>41275</v>
      </c>
      <c r="L103" s="2">
        <f>SUM(Tabla1[[#This Row],[Serv. Culturales Derecho Hab Publ]:[Soci Comedores Pensionados Jubl]])</f>
        <v>161906</v>
      </c>
    </row>
    <row r="104" spans="1:12" x14ac:dyDescent="0.3">
      <c r="A104" s="2">
        <v>2019</v>
      </c>
      <c r="B104" t="s">
        <v>6</v>
      </c>
      <c r="C104" s="2">
        <v>68938</v>
      </c>
      <c r="D104" s="2">
        <v>72141</v>
      </c>
      <c r="E104" s="2">
        <v>0</v>
      </c>
      <c r="F104" s="2">
        <v>188</v>
      </c>
      <c r="G104" s="2">
        <v>8607</v>
      </c>
      <c r="H104" s="2">
        <v>4903</v>
      </c>
      <c r="I104" s="2">
        <v>7118</v>
      </c>
      <c r="J104" s="2">
        <v>0</v>
      </c>
      <c r="K104" s="1">
        <v>43466</v>
      </c>
      <c r="L104" s="2">
        <f>SUM(Tabla1[[#This Row],[Serv. Culturales Derecho Hab Publ]:[Soci Comedores Pensionados Jubl]])</f>
        <v>161895</v>
      </c>
    </row>
    <row r="105" spans="1:12" x14ac:dyDescent="0.3">
      <c r="A105" s="2">
        <v>2014</v>
      </c>
      <c r="B105" t="s">
        <v>13</v>
      </c>
      <c r="C105" s="2">
        <v>90923</v>
      </c>
      <c r="D105" s="2">
        <v>55729</v>
      </c>
      <c r="E105" s="2">
        <v>0</v>
      </c>
      <c r="F105" s="2">
        <v>183</v>
      </c>
      <c r="G105" s="2">
        <v>7051</v>
      </c>
      <c r="H105" s="2">
        <v>3420</v>
      </c>
      <c r="I105" s="2">
        <v>3978</v>
      </c>
      <c r="J105" s="2">
        <v>0</v>
      </c>
      <c r="K105" s="1">
        <v>41640</v>
      </c>
      <c r="L105" s="2">
        <f>SUM(Tabla1[[#This Row],[Serv. Culturales Derecho Hab Publ]:[Soci Comedores Pensionados Jubl]])</f>
        <v>161284</v>
      </c>
    </row>
    <row r="106" spans="1:12" x14ac:dyDescent="0.3">
      <c r="A106" s="2">
        <v>2014</v>
      </c>
      <c r="B106" t="s">
        <v>12</v>
      </c>
      <c r="C106" s="2">
        <v>128923</v>
      </c>
      <c r="D106" s="2">
        <v>17123</v>
      </c>
      <c r="E106" s="2">
        <v>0</v>
      </c>
      <c r="F106" s="2">
        <v>55</v>
      </c>
      <c r="G106" s="2">
        <v>1699</v>
      </c>
      <c r="H106" s="2">
        <v>5276</v>
      </c>
      <c r="I106" s="2">
        <v>7034</v>
      </c>
      <c r="J106" s="2">
        <v>0</v>
      </c>
      <c r="K106" s="1">
        <v>41640</v>
      </c>
      <c r="L106" s="2">
        <f>SUM(Tabla1[[#This Row],[Serv. Culturales Derecho Hab Publ]:[Soci Comedores Pensionados Jubl]])</f>
        <v>160110</v>
      </c>
    </row>
    <row r="107" spans="1:12" x14ac:dyDescent="0.3">
      <c r="A107" s="2">
        <v>2019</v>
      </c>
      <c r="B107" t="s">
        <v>51</v>
      </c>
      <c r="C107" s="2">
        <v>64862</v>
      </c>
      <c r="D107" s="2">
        <v>46989</v>
      </c>
      <c r="E107" s="2">
        <v>0</v>
      </c>
      <c r="F107" s="2">
        <v>97</v>
      </c>
      <c r="G107" s="2">
        <v>10086</v>
      </c>
      <c r="H107" s="2">
        <v>25968</v>
      </c>
      <c r="I107" s="2">
        <v>11618</v>
      </c>
      <c r="J107" s="2">
        <v>0</v>
      </c>
      <c r="K107" s="1">
        <v>43466</v>
      </c>
      <c r="L107" s="2">
        <f>SUM(Tabla1[[#This Row],[Serv. Culturales Derecho Hab Publ]:[Soci Comedores Pensionados Jubl]])</f>
        <v>159620</v>
      </c>
    </row>
    <row r="108" spans="1:12" x14ac:dyDescent="0.3">
      <c r="A108" s="2">
        <v>2013</v>
      </c>
      <c r="B108" t="s">
        <v>13</v>
      </c>
      <c r="C108" s="2">
        <v>88738</v>
      </c>
      <c r="D108" s="2">
        <v>54785</v>
      </c>
      <c r="E108" s="2">
        <v>0</v>
      </c>
      <c r="F108" s="2">
        <v>193</v>
      </c>
      <c r="G108" s="2">
        <v>8403</v>
      </c>
      <c r="H108" s="2">
        <v>3415</v>
      </c>
      <c r="I108" s="2">
        <v>3864</v>
      </c>
      <c r="J108" s="2">
        <v>0</v>
      </c>
      <c r="K108" s="1">
        <v>41275</v>
      </c>
      <c r="L108" s="2">
        <f>SUM(Tabla1[[#This Row],[Serv. Culturales Derecho Hab Publ]:[Soci Comedores Pensionados Jubl]])</f>
        <v>159398</v>
      </c>
    </row>
    <row r="109" spans="1:12" x14ac:dyDescent="0.3">
      <c r="A109" s="2">
        <v>2017</v>
      </c>
      <c r="B109" t="s">
        <v>15</v>
      </c>
      <c r="C109" s="2">
        <v>82972</v>
      </c>
      <c r="D109" s="2">
        <v>55731</v>
      </c>
      <c r="E109" s="2">
        <v>0</v>
      </c>
      <c r="F109" s="2">
        <v>364</v>
      </c>
      <c r="G109" s="2">
        <v>5724</v>
      </c>
      <c r="H109" s="2">
        <v>2030</v>
      </c>
      <c r="I109" s="2">
        <v>12046</v>
      </c>
      <c r="J109" s="2">
        <v>0</v>
      </c>
      <c r="K109" s="1">
        <v>42736</v>
      </c>
      <c r="L109" s="2">
        <f>SUM(Tabla1[[#This Row],[Serv. Culturales Derecho Hab Publ]:[Soci Comedores Pensionados Jubl]])</f>
        <v>158867</v>
      </c>
    </row>
    <row r="110" spans="1:12" x14ac:dyDescent="0.3">
      <c r="A110" s="2">
        <v>2017</v>
      </c>
      <c r="B110" t="s">
        <v>48</v>
      </c>
      <c r="C110" s="2">
        <v>108205</v>
      </c>
      <c r="D110" s="2">
        <v>34249</v>
      </c>
      <c r="E110" s="2">
        <v>0</v>
      </c>
      <c r="F110" s="2">
        <v>1174</v>
      </c>
      <c r="G110" s="2">
        <v>4570</v>
      </c>
      <c r="H110" s="2">
        <v>2269</v>
      </c>
      <c r="I110" s="2">
        <v>7634</v>
      </c>
      <c r="J110" s="2">
        <v>0</v>
      </c>
      <c r="K110" s="1">
        <v>42736</v>
      </c>
      <c r="L110" s="2">
        <f>SUM(Tabla1[[#This Row],[Serv. Culturales Derecho Hab Publ]:[Soci Comedores Pensionados Jubl]])</f>
        <v>158101</v>
      </c>
    </row>
    <row r="111" spans="1:12" x14ac:dyDescent="0.3">
      <c r="A111" s="2">
        <v>2015</v>
      </c>
      <c r="B111" t="s">
        <v>15</v>
      </c>
      <c r="C111" s="2">
        <v>74815</v>
      </c>
      <c r="D111" s="2">
        <v>56353</v>
      </c>
      <c r="E111" s="2">
        <v>0</v>
      </c>
      <c r="F111" s="2">
        <v>240</v>
      </c>
      <c r="G111" s="2">
        <v>6392</v>
      </c>
      <c r="H111" s="2">
        <v>1778</v>
      </c>
      <c r="I111" s="2">
        <v>17760</v>
      </c>
      <c r="J111" s="2">
        <v>0</v>
      </c>
      <c r="K111" s="1">
        <v>42005</v>
      </c>
      <c r="L111" s="2">
        <f>SUM(Tabla1[[#This Row],[Serv. Culturales Derecho Hab Publ]:[Soci Comedores Pensionados Jubl]])</f>
        <v>157338</v>
      </c>
    </row>
    <row r="112" spans="1:12" x14ac:dyDescent="0.3">
      <c r="A112" s="2">
        <v>2015</v>
      </c>
      <c r="B112" t="s">
        <v>6</v>
      </c>
      <c r="C112" s="2">
        <v>77265</v>
      </c>
      <c r="D112" s="2">
        <v>61104</v>
      </c>
      <c r="E112" s="2">
        <v>0</v>
      </c>
      <c r="F112" s="2">
        <v>153</v>
      </c>
      <c r="G112" s="2">
        <v>7142</v>
      </c>
      <c r="H112" s="2">
        <v>2637</v>
      </c>
      <c r="I112" s="2">
        <v>7360</v>
      </c>
      <c r="J112" s="2">
        <v>0</v>
      </c>
      <c r="K112" s="1">
        <v>42005</v>
      </c>
      <c r="L112" s="2">
        <f>SUM(Tabla1[[#This Row],[Serv. Culturales Derecho Hab Publ]:[Soci Comedores Pensionados Jubl]])</f>
        <v>155661</v>
      </c>
    </row>
    <row r="113" spans="1:12" x14ac:dyDescent="0.3">
      <c r="A113" s="2">
        <v>2018</v>
      </c>
      <c r="B113" t="s">
        <v>2</v>
      </c>
      <c r="C113" s="2">
        <v>57071</v>
      </c>
      <c r="D113" s="2">
        <v>71603</v>
      </c>
      <c r="E113" s="2">
        <v>0</v>
      </c>
      <c r="F113" s="2">
        <v>52</v>
      </c>
      <c r="G113" s="2">
        <v>10027</v>
      </c>
      <c r="H113" s="2">
        <v>5383</v>
      </c>
      <c r="I113" s="2">
        <v>11190</v>
      </c>
      <c r="J113" s="2">
        <v>0</v>
      </c>
      <c r="K113" s="1">
        <v>43101</v>
      </c>
      <c r="L113" s="2">
        <f>SUM(Tabla1[[#This Row],[Serv. Culturales Derecho Hab Publ]:[Soci Comedores Pensionados Jubl]])</f>
        <v>155326</v>
      </c>
    </row>
    <row r="114" spans="1:12" x14ac:dyDescent="0.3">
      <c r="A114" s="2">
        <v>2015</v>
      </c>
      <c r="B114" t="s">
        <v>13</v>
      </c>
      <c r="C114" s="2">
        <v>86309</v>
      </c>
      <c r="D114" s="2">
        <v>54848</v>
      </c>
      <c r="E114" s="2">
        <v>0</v>
      </c>
      <c r="F114" s="2">
        <v>202</v>
      </c>
      <c r="G114" s="2">
        <v>6477</v>
      </c>
      <c r="H114" s="2">
        <v>3200</v>
      </c>
      <c r="I114" s="2">
        <v>3724</v>
      </c>
      <c r="J114" s="2">
        <v>0</v>
      </c>
      <c r="K114" s="1">
        <v>42005</v>
      </c>
      <c r="L114" s="2">
        <f>SUM(Tabla1[[#This Row],[Serv. Culturales Derecho Hab Publ]:[Soci Comedores Pensionados Jubl]])</f>
        <v>154760</v>
      </c>
    </row>
    <row r="115" spans="1:12" x14ac:dyDescent="0.3">
      <c r="A115" s="2">
        <v>2019</v>
      </c>
      <c r="B115" t="s">
        <v>15</v>
      </c>
      <c r="C115" s="2">
        <v>84659</v>
      </c>
      <c r="D115" s="2">
        <v>47146</v>
      </c>
      <c r="E115" s="2">
        <v>0</v>
      </c>
      <c r="F115" s="2">
        <v>559</v>
      </c>
      <c r="G115" s="2">
        <v>6826</v>
      </c>
      <c r="H115" s="2">
        <v>2244</v>
      </c>
      <c r="I115" s="2">
        <v>12815</v>
      </c>
      <c r="J115" s="2">
        <v>0</v>
      </c>
      <c r="K115" s="1">
        <v>43466</v>
      </c>
      <c r="L115" s="2">
        <f>SUM(Tabla1[[#This Row],[Serv. Culturales Derecho Hab Publ]:[Soci Comedores Pensionados Jubl]])</f>
        <v>154249</v>
      </c>
    </row>
    <row r="116" spans="1:12" x14ac:dyDescent="0.3">
      <c r="A116" s="2">
        <v>2018</v>
      </c>
      <c r="B116" t="s">
        <v>15</v>
      </c>
      <c r="C116" s="2">
        <v>81969</v>
      </c>
      <c r="D116" s="2">
        <v>51792</v>
      </c>
      <c r="E116" s="2">
        <v>0</v>
      </c>
      <c r="F116" s="2">
        <v>210</v>
      </c>
      <c r="G116" s="2">
        <v>6824</v>
      </c>
      <c r="H116" s="2">
        <v>1370</v>
      </c>
      <c r="I116" s="2">
        <v>11169</v>
      </c>
      <c r="J116" s="2">
        <v>0</v>
      </c>
      <c r="K116" s="1">
        <v>43101</v>
      </c>
      <c r="L116" s="2">
        <f>SUM(Tabla1[[#This Row],[Serv. Culturales Derecho Hab Publ]:[Soci Comedores Pensionados Jubl]])</f>
        <v>153334</v>
      </c>
    </row>
    <row r="117" spans="1:12" x14ac:dyDescent="0.3">
      <c r="A117" s="2">
        <v>2014</v>
      </c>
      <c r="B117" t="s">
        <v>19</v>
      </c>
      <c r="C117" s="2">
        <v>56276</v>
      </c>
      <c r="D117" s="2">
        <v>76730</v>
      </c>
      <c r="E117" s="2">
        <v>0</v>
      </c>
      <c r="F117" s="2">
        <v>93</v>
      </c>
      <c r="G117" s="2">
        <v>2196</v>
      </c>
      <c r="H117" s="2">
        <v>10498</v>
      </c>
      <c r="I117" s="2">
        <v>3856</v>
      </c>
      <c r="J117" s="2">
        <v>0</v>
      </c>
      <c r="K117" s="1">
        <v>41640</v>
      </c>
      <c r="L117" s="2">
        <f>SUM(Tabla1[[#This Row],[Serv. Culturales Derecho Hab Publ]:[Soci Comedores Pensionados Jubl]])</f>
        <v>149649</v>
      </c>
    </row>
    <row r="118" spans="1:12" x14ac:dyDescent="0.3">
      <c r="A118" s="2">
        <v>2014</v>
      </c>
      <c r="B118" t="s">
        <v>3</v>
      </c>
      <c r="C118" s="2">
        <v>49368</v>
      </c>
      <c r="D118" s="2">
        <v>71020</v>
      </c>
      <c r="E118" s="2">
        <v>0</v>
      </c>
      <c r="F118" s="2">
        <v>9</v>
      </c>
      <c r="G118" s="2">
        <v>7766</v>
      </c>
      <c r="H118" s="2">
        <v>14356</v>
      </c>
      <c r="I118" s="2">
        <v>6136</v>
      </c>
      <c r="J118" s="2">
        <v>0</v>
      </c>
      <c r="K118" s="1">
        <v>41640</v>
      </c>
      <c r="L118" s="2">
        <f>SUM(Tabla1[[#This Row],[Serv. Culturales Derecho Hab Publ]:[Soci Comedores Pensionados Jubl]])</f>
        <v>148655</v>
      </c>
    </row>
    <row r="119" spans="1:12" x14ac:dyDescent="0.3">
      <c r="A119" s="2">
        <v>2015</v>
      </c>
      <c r="B119" t="s">
        <v>12</v>
      </c>
      <c r="C119" s="2">
        <v>117939</v>
      </c>
      <c r="D119" s="2">
        <v>15164</v>
      </c>
      <c r="E119" s="2">
        <v>0</v>
      </c>
      <c r="F119" s="2">
        <v>60</v>
      </c>
      <c r="G119" s="2">
        <v>2188</v>
      </c>
      <c r="H119" s="2">
        <v>5651</v>
      </c>
      <c r="I119" s="2">
        <v>7439</v>
      </c>
      <c r="J119" s="2">
        <v>0</v>
      </c>
      <c r="K119" s="1">
        <v>42005</v>
      </c>
      <c r="L119" s="2">
        <f>SUM(Tabla1[[#This Row],[Serv. Culturales Derecho Hab Publ]:[Soci Comedores Pensionados Jubl]])</f>
        <v>148441</v>
      </c>
    </row>
    <row r="120" spans="1:12" x14ac:dyDescent="0.3">
      <c r="A120" s="2">
        <v>2020</v>
      </c>
      <c r="B120" t="s">
        <v>24</v>
      </c>
      <c r="C120" s="2">
        <v>148392</v>
      </c>
      <c r="D120" s="2">
        <v>0</v>
      </c>
      <c r="E120" s="2">
        <v>0</v>
      </c>
      <c r="F120" s="2">
        <v>45</v>
      </c>
      <c r="G120" s="2">
        <v>0</v>
      </c>
      <c r="H120" s="2">
        <v>0</v>
      </c>
      <c r="I120" s="2">
        <v>0</v>
      </c>
      <c r="J120" s="2">
        <v>0</v>
      </c>
      <c r="K120" s="1">
        <v>43831</v>
      </c>
      <c r="L120" s="2">
        <f>SUM(Tabla1[[#This Row],[Serv. Culturales Derecho Hab Publ]:[Soci Comedores Pensionados Jubl]])</f>
        <v>148437</v>
      </c>
    </row>
    <row r="121" spans="1:12" x14ac:dyDescent="0.3">
      <c r="A121" s="2">
        <v>2018</v>
      </c>
      <c r="B121" t="s">
        <v>48</v>
      </c>
      <c r="C121" s="2">
        <v>99373</v>
      </c>
      <c r="D121" s="2">
        <v>34177</v>
      </c>
      <c r="E121" s="2">
        <v>0</v>
      </c>
      <c r="F121" s="2">
        <v>1825</v>
      </c>
      <c r="G121" s="2">
        <v>3221</v>
      </c>
      <c r="H121" s="2">
        <v>2268</v>
      </c>
      <c r="I121" s="2">
        <v>5132</v>
      </c>
      <c r="J121" s="2">
        <v>0</v>
      </c>
      <c r="K121" s="1">
        <v>43101</v>
      </c>
      <c r="L121" s="2">
        <f>SUM(Tabla1[[#This Row],[Serv. Culturales Derecho Hab Publ]:[Soci Comedores Pensionados Jubl]])</f>
        <v>145996</v>
      </c>
    </row>
    <row r="122" spans="1:12" x14ac:dyDescent="0.3">
      <c r="A122" s="2">
        <v>2017</v>
      </c>
      <c r="B122" t="s">
        <v>18</v>
      </c>
      <c r="C122" s="2">
        <v>100728</v>
      </c>
      <c r="D122" s="2">
        <v>23999</v>
      </c>
      <c r="E122" s="2">
        <v>0</v>
      </c>
      <c r="F122" s="2">
        <v>50</v>
      </c>
      <c r="G122" s="2">
        <v>1940</v>
      </c>
      <c r="H122" s="2">
        <v>11549</v>
      </c>
      <c r="I122" s="2">
        <v>6843</v>
      </c>
      <c r="J122" s="2">
        <v>0</v>
      </c>
      <c r="K122" s="1">
        <v>42736</v>
      </c>
      <c r="L122" s="2">
        <f>SUM(Tabla1[[#This Row],[Serv. Culturales Derecho Hab Publ]:[Soci Comedores Pensionados Jubl]])</f>
        <v>145109</v>
      </c>
    </row>
    <row r="123" spans="1:12" x14ac:dyDescent="0.3">
      <c r="A123" s="2">
        <v>2019</v>
      </c>
      <c r="B123" t="s">
        <v>19</v>
      </c>
      <c r="C123" s="2">
        <v>92025</v>
      </c>
      <c r="D123" s="2">
        <v>17653</v>
      </c>
      <c r="E123" s="2">
        <v>0</v>
      </c>
      <c r="F123" s="2">
        <v>94</v>
      </c>
      <c r="G123" s="2">
        <v>6420</v>
      </c>
      <c r="H123" s="2">
        <v>15938</v>
      </c>
      <c r="I123" s="2">
        <v>12015</v>
      </c>
      <c r="J123" s="2">
        <v>0</v>
      </c>
      <c r="K123" s="1">
        <v>43466</v>
      </c>
      <c r="L123" s="2">
        <f>SUM(Tabla1[[#This Row],[Serv. Culturales Derecho Hab Publ]:[Soci Comedores Pensionados Jubl]])</f>
        <v>144145</v>
      </c>
    </row>
    <row r="124" spans="1:12" x14ac:dyDescent="0.3">
      <c r="A124" s="2">
        <v>2015</v>
      </c>
      <c r="B124" t="s">
        <v>1</v>
      </c>
      <c r="C124" s="2">
        <v>83223</v>
      </c>
      <c r="D124" s="2">
        <v>41949</v>
      </c>
      <c r="E124" s="2">
        <v>0</v>
      </c>
      <c r="F124" s="2">
        <v>50</v>
      </c>
      <c r="G124" s="2">
        <v>2295</v>
      </c>
      <c r="H124" s="2">
        <v>2446</v>
      </c>
      <c r="I124" s="2">
        <v>12254</v>
      </c>
      <c r="J124" s="2">
        <v>0</v>
      </c>
      <c r="K124" s="1">
        <v>42005</v>
      </c>
      <c r="L124" s="2">
        <f>SUM(Tabla1[[#This Row],[Serv. Culturales Derecho Hab Publ]:[Soci Comedores Pensionados Jubl]])</f>
        <v>142217</v>
      </c>
    </row>
    <row r="125" spans="1:12" x14ac:dyDescent="0.3">
      <c r="A125" s="2">
        <v>2018</v>
      </c>
      <c r="B125" t="s">
        <v>21</v>
      </c>
      <c r="C125" s="2">
        <v>99287</v>
      </c>
      <c r="D125" s="2">
        <v>25673</v>
      </c>
      <c r="E125" s="2">
        <v>0</v>
      </c>
      <c r="F125" s="2">
        <v>369</v>
      </c>
      <c r="G125" s="2">
        <v>6276</v>
      </c>
      <c r="H125" s="2">
        <v>3015</v>
      </c>
      <c r="I125" s="2">
        <v>7399</v>
      </c>
      <c r="J125" s="2">
        <v>0</v>
      </c>
      <c r="K125" s="1">
        <v>43101</v>
      </c>
      <c r="L125" s="2">
        <f>SUM(Tabla1[[#This Row],[Serv. Culturales Derecho Hab Publ]:[Soci Comedores Pensionados Jubl]])</f>
        <v>142019</v>
      </c>
    </row>
    <row r="126" spans="1:12" x14ac:dyDescent="0.3">
      <c r="A126" s="2">
        <v>2019</v>
      </c>
      <c r="B126" t="s">
        <v>13</v>
      </c>
      <c r="C126" s="2">
        <v>72968</v>
      </c>
      <c r="D126" s="2">
        <v>55386</v>
      </c>
      <c r="E126" s="2">
        <v>0</v>
      </c>
      <c r="F126" s="2">
        <v>217</v>
      </c>
      <c r="G126" s="2">
        <v>2491</v>
      </c>
      <c r="H126" s="2">
        <v>3816</v>
      </c>
      <c r="I126" s="2">
        <v>6355</v>
      </c>
      <c r="J126" s="2">
        <v>0</v>
      </c>
      <c r="K126" s="1">
        <v>43466</v>
      </c>
      <c r="L126" s="2">
        <f>SUM(Tabla1[[#This Row],[Serv. Culturales Derecho Hab Publ]:[Soci Comedores Pensionados Jubl]])</f>
        <v>141233</v>
      </c>
    </row>
    <row r="127" spans="1:12" x14ac:dyDescent="0.3">
      <c r="A127" s="2">
        <v>2016</v>
      </c>
      <c r="B127" t="s">
        <v>51</v>
      </c>
      <c r="C127" s="2">
        <v>92295</v>
      </c>
      <c r="D127" s="2">
        <v>0</v>
      </c>
      <c r="E127" s="2">
        <v>0</v>
      </c>
      <c r="F127" s="2">
        <v>0</v>
      </c>
      <c r="G127" s="2">
        <v>15226</v>
      </c>
      <c r="H127" s="2">
        <v>14638</v>
      </c>
      <c r="I127" s="2">
        <v>18445</v>
      </c>
      <c r="J127" s="2">
        <v>0</v>
      </c>
      <c r="K127" s="1">
        <v>42370</v>
      </c>
      <c r="L127" s="2">
        <f>SUM(Tabla1[[#This Row],[Serv. Culturales Derecho Hab Publ]:[Soci Comedores Pensionados Jubl]])</f>
        <v>140604</v>
      </c>
    </row>
    <row r="128" spans="1:12" x14ac:dyDescent="0.3">
      <c r="A128" s="2">
        <v>2018</v>
      </c>
      <c r="B128" t="s">
        <v>18</v>
      </c>
      <c r="C128" s="2">
        <v>104609</v>
      </c>
      <c r="D128" s="2">
        <v>18956</v>
      </c>
      <c r="E128" s="2">
        <v>0</v>
      </c>
      <c r="F128" s="2">
        <v>19</v>
      </c>
      <c r="G128" s="2">
        <v>917</v>
      </c>
      <c r="H128" s="2">
        <v>8046</v>
      </c>
      <c r="I128" s="2">
        <v>7707</v>
      </c>
      <c r="J128" s="2">
        <v>0</v>
      </c>
      <c r="K128" s="1">
        <v>43101</v>
      </c>
      <c r="L128" s="2">
        <f>SUM(Tabla1[[#This Row],[Serv. Culturales Derecho Hab Publ]:[Soci Comedores Pensionados Jubl]])</f>
        <v>140254</v>
      </c>
    </row>
    <row r="129" spans="1:12" x14ac:dyDescent="0.3">
      <c r="A129" s="2">
        <v>2016</v>
      </c>
      <c r="B129" t="s">
        <v>30</v>
      </c>
      <c r="C129" s="2">
        <v>103051</v>
      </c>
      <c r="D129" s="2">
        <v>0</v>
      </c>
      <c r="E129" s="2">
        <v>0</v>
      </c>
      <c r="F129" s="2">
        <v>0</v>
      </c>
      <c r="G129" s="2">
        <v>3707</v>
      </c>
      <c r="H129" s="2">
        <v>11732</v>
      </c>
      <c r="I129" s="2">
        <v>21376</v>
      </c>
      <c r="J129" s="2">
        <v>0</v>
      </c>
      <c r="K129" s="1">
        <v>42370</v>
      </c>
      <c r="L129" s="2">
        <f>SUM(Tabla1[[#This Row],[Serv. Culturales Derecho Hab Publ]:[Soci Comedores Pensionados Jubl]])</f>
        <v>139866</v>
      </c>
    </row>
    <row r="130" spans="1:12" x14ac:dyDescent="0.3">
      <c r="A130" s="2">
        <v>2018</v>
      </c>
      <c r="B130" t="s">
        <v>6</v>
      </c>
      <c r="C130" s="2">
        <v>54085</v>
      </c>
      <c r="D130" s="2">
        <v>70331</v>
      </c>
      <c r="E130" s="2">
        <v>0</v>
      </c>
      <c r="F130" s="2">
        <v>163</v>
      </c>
      <c r="G130" s="2">
        <v>9040</v>
      </c>
      <c r="H130" s="2">
        <v>3363</v>
      </c>
      <c r="I130" s="2">
        <v>2038</v>
      </c>
      <c r="J130" s="2">
        <v>0</v>
      </c>
      <c r="K130" s="1">
        <v>43101</v>
      </c>
      <c r="L130" s="2">
        <f>SUM(Tabla1[[#This Row],[Serv. Culturales Derecho Hab Publ]:[Soci Comedores Pensionados Jubl]])</f>
        <v>139020</v>
      </c>
    </row>
    <row r="131" spans="1:12" x14ac:dyDescent="0.3">
      <c r="A131" s="2">
        <v>2017</v>
      </c>
      <c r="B131" t="s">
        <v>21</v>
      </c>
      <c r="C131" s="2">
        <v>95061</v>
      </c>
      <c r="D131" s="2">
        <v>25403</v>
      </c>
      <c r="E131" s="2">
        <v>0</v>
      </c>
      <c r="F131" s="2">
        <v>131</v>
      </c>
      <c r="G131" s="2">
        <v>6243</v>
      </c>
      <c r="H131" s="2">
        <v>2863</v>
      </c>
      <c r="I131" s="2">
        <v>8169</v>
      </c>
      <c r="J131" s="2">
        <v>0</v>
      </c>
      <c r="K131" s="1">
        <v>42736</v>
      </c>
      <c r="L131" s="2">
        <f>SUM(Tabla1[[#This Row],[Serv. Culturales Derecho Hab Publ]:[Soci Comedores Pensionados Jubl]])</f>
        <v>137870</v>
      </c>
    </row>
    <row r="132" spans="1:12" x14ac:dyDescent="0.3">
      <c r="A132" s="2">
        <v>2017</v>
      </c>
      <c r="B132" t="s">
        <v>8</v>
      </c>
      <c r="C132" s="2">
        <v>45528</v>
      </c>
      <c r="D132" s="2">
        <v>44394</v>
      </c>
      <c r="E132" s="2">
        <v>0</v>
      </c>
      <c r="F132" s="2">
        <v>167</v>
      </c>
      <c r="G132" s="2">
        <v>10913</v>
      </c>
      <c r="H132" s="2">
        <v>4177</v>
      </c>
      <c r="I132" s="2">
        <v>32107</v>
      </c>
      <c r="J132" s="2">
        <v>0</v>
      </c>
      <c r="K132" s="1">
        <v>42736</v>
      </c>
      <c r="L132" s="2">
        <f>SUM(Tabla1[[#This Row],[Serv. Culturales Derecho Hab Publ]:[Soci Comedores Pensionados Jubl]])</f>
        <v>137286</v>
      </c>
    </row>
    <row r="133" spans="1:12" x14ac:dyDescent="0.3">
      <c r="A133" s="2">
        <v>2019</v>
      </c>
      <c r="B133" t="s">
        <v>11</v>
      </c>
      <c r="C133" s="2">
        <v>86896</v>
      </c>
      <c r="D133" s="2">
        <v>32765</v>
      </c>
      <c r="E133" s="2">
        <v>0</v>
      </c>
      <c r="F133" s="2">
        <v>226</v>
      </c>
      <c r="G133" s="2">
        <v>7314</v>
      </c>
      <c r="H133" s="2">
        <v>3081</v>
      </c>
      <c r="I133" s="2">
        <v>6242</v>
      </c>
      <c r="J133" s="2">
        <v>0</v>
      </c>
      <c r="K133" s="1">
        <v>43466</v>
      </c>
      <c r="L133" s="2">
        <f>SUM(Tabla1[[#This Row],[Serv. Culturales Derecho Hab Publ]:[Soci Comedores Pensionados Jubl]])</f>
        <v>136524</v>
      </c>
    </row>
    <row r="134" spans="1:12" x14ac:dyDescent="0.3">
      <c r="A134" s="2">
        <v>2015</v>
      </c>
      <c r="B134" t="s">
        <v>11</v>
      </c>
      <c r="C134" s="2">
        <v>48617</v>
      </c>
      <c r="D134" s="2">
        <v>40187</v>
      </c>
      <c r="E134" s="2">
        <v>0</v>
      </c>
      <c r="F134" s="2">
        <v>232</v>
      </c>
      <c r="G134" s="2">
        <v>35664</v>
      </c>
      <c r="H134" s="2">
        <v>3018</v>
      </c>
      <c r="I134" s="2">
        <v>7193</v>
      </c>
      <c r="J134" s="2">
        <v>0</v>
      </c>
      <c r="K134" s="1">
        <v>42005</v>
      </c>
      <c r="L134" s="2">
        <f>SUM(Tabla1[[#This Row],[Serv. Culturales Derecho Hab Publ]:[Soci Comedores Pensionados Jubl]])</f>
        <v>134911</v>
      </c>
    </row>
    <row r="135" spans="1:12" x14ac:dyDescent="0.3">
      <c r="A135" s="2">
        <v>2014</v>
      </c>
      <c r="B135" t="s">
        <v>4</v>
      </c>
      <c r="C135" s="2">
        <v>77475</v>
      </c>
      <c r="D135" s="2">
        <v>36780</v>
      </c>
      <c r="E135" s="2">
        <v>0</v>
      </c>
      <c r="F135" s="2">
        <v>83</v>
      </c>
      <c r="G135" s="2">
        <v>6153</v>
      </c>
      <c r="H135" s="2">
        <v>1225</v>
      </c>
      <c r="I135" s="2">
        <v>11974</v>
      </c>
      <c r="J135" s="2">
        <v>0</v>
      </c>
      <c r="K135" s="1">
        <v>41640</v>
      </c>
      <c r="L135" s="2">
        <f>SUM(Tabla1[[#This Row],[Serv. Culturales Derecho Hab Publ]:[Soci Comedores Pensionados Jubl]])</f>
        <v>133690</v>
      </c>
    </row>
    <row r="136" spans="1:12" x14ac:dyDescent="0.3">
      <c r="A136" s="2">
        <v>2014</v>
      </c>
      <c r="B136" t="s">
        <v>1</v>
      </c>
      <c r="C136" s="2">
        <v>80369</v>
      </c>
      <c r="D136" s="2">
        <v>40548</v>
      </c>
      <c r="E136" s="2">
        <v>0</v>
      </c>
      <c r="F136" s="2">
        <v>78</v>
      </c>
      <c r="G136" s="2">
        <v>2444</v>
      </c>
      <c r="H136" s="2">
        <v>2097</v>
      </c>
      <c r="I136" s="2">
        <v>7644</v>
      </c>
      <c r="J136" s="2">
        <v>0</v>
      </c>
      <c r="K136" s="1">
        <v>41640</v>
      </c>
      <c r="L136" s="2">
        <f>SUM(Tabla1[[#This Row],[Serv. Culturales Derecho Hab Publ]:[Soci Comedores Pensionados Jubl]])</f>
        <v>133180</v>
      </c>
    </row>
    <row r="137" spans="1:12" x14ac:dyDescent="0.3">
      <c r="A137" s="2">
        <v>2017</v>
      </c>
      <c r="B137" t="s">
        <v>5</v>
      </c>
      <c r="C137" s="2">
        <v>80363</v>
      </c>
      <c r="D137" s="2">
        <v>25670</v>
      </c>
      <c r="E137" s="2">
        <v>0</v>
      </c>
      <c r="F137" s="2">
        <v>99</v>
      </c>
      <c r="G137" s="2">
        <v>2207</v>
      </c>
      <c r="H137" s="2">
        <v>13301</v>
      </c>
      <c r="I137" s="2">
        <v>11454</v>
      </c>
      <c r="J137" s="2">
        <v>0</v>
      </c>
      <c r="K137" s="1">
        <v>42736</v>
      </c>
      <c r="L137" s="2">
        <f>SUM(Tabla1[[#This Row],[Serv. Culturales Derecho Hab Publ]:[Soci Comedores Pensionados Jubl]])</f>
        <v>133094</v>
      </c>
    </row>
    <row r="138" spans="1:12" x14ac:dyDescent="0.3">
      <c r="A138" s="2">
        <v>2017</v>
      </c>
      <c r="B138" t="s">
        <v>32</v>
      </c>
      <c r="C138" s="2">
        <v>68545</v>
      </c>
      <c r="D138" s="2">
        <v>47250</v>
      </c>
      <c r="E138" s="2">
        <v>0</v>
      </c>
      <c r="F138" s="2">
        <v>68</v>
      </c>
      <c r="G138" s="2">
        <v>4873</v>
      </c>
      <c r="H138" s="2">
        <v>3005</v>
      </c>
      <c r="I138" s="2">
        <v>9269</v>
      </c>
      <c r="J138" s="2">
        <v>0</v>
      </c>
      <c r="K138" s="1">
        <v>42736</v>
      </c>
      <c r="L138" s="2">
        <f>SUM(Tabla1[[#This Row],[Serv. Culturales Derecho Hab Publ]:[Soci Comedores Pensionados Jubl]])</f>
        <v>133010</v>
      </c>
    </row>
    <row r="139" spans="1:12" x14ac:dyDescent="0.3">
      <c r="A139" s="2">
        <v>2013</v>
      </c>
      <c r="B139" t="s">
        <v>19</v>
      </c>
      <c r="C139" s="2">
        <v>43996</v>
      </c>
      <c r="D139" s="2">
        <v>69679</v>
      </c>
      <c r="E139" s="2">
        <v>0</v>
      </c>
      <c r="F139" s="2">
        <v>118</v>
      </c>
      <c r="G139" s="2">
        <v>1783</v>
      </c>
      <c r="H139" s="2">
        <v>11541</v>
      </c>
      <c r="I139" s="2">
        <v>5842</v>
      </c>
      <c r="J139" s="2">
        <v>0</v>
      </c>
      <c r="K139" s="1">
        <v>41275</v>
      </c>
      <c r="L139" s="2">
        <f>SUM(Tabla1[[#This Row],[Serv. Culturales Derecho Hab Publ]:[Soci Comedores Pensionados Jubl]])</f>
        <v>132959</v>
      </c>
    </row>
    <row r="140" spans="1:12" x14ac:dyDescent="0.3">
      <c r="A140" s="2">
        <v>2013</v>
      </c>
      <c r="B140" t="s">
        <v>5</v>
      </c>
      <c r="C140" s="2">
        <v>92979</v>
      </c>
      <c r="D140" s="2">
        <v>23992</v>
      </c>
      <c r="E140" s="2">
        <v>0</v>
      </c>
      <c r="F140" s="2">
        <v>200</v>
      </c>
      <c r="G140" s="2">
        <v>1475</v>
      </c>
      <c r="H140" s="2">
        <v>12000</v>
      </c>
      <c r="I140" s="2">
        <v>1471</v>
      </c>
      <c r="J140" s="2">
        <v>0</v>
      </c>
      <c r="K140" s="1">
        <v>41275</v>
      </c>
      <c r="L140" s="2">
        <f>SUM(Tabla1[[#This Row],[Serv. Culturales Derecho Hab Publ]:[Soci Comedores Pensionados Jubl]])</f>
        <v>132117</v>
      </c>
    </row>
    <row r="141" spans="1:12" x14ac:dyDescent="0.3">
      <c r="A141" s="2">
        <v>2017</v>
      </c>
      <c r="B141" t="s">
        <v>22</v>
      </c>
      <c r="C141" s="2">
        <v>70079</v>
      </c>
      <c r="D141" s="2">
        <v>51068</v>
      </c>
      <c r="E141" s="2">
        <v>0</v>
      </c>
      <c r="F141" s="2">
        <v>97</v>
      </c>
      <c r="G141" s="2">
        <v>3704</v>
      </c>
      <c r="H141" s="2">
        <v>6003</v>
      </c>
      <c r="I141" s="2">
        <v>678</v>
      </c>
      <c r="J141" s="2">
        <v>0</v>
      </c>
      <c r="K141" s="1">
        <v>42736</v>
      </c>
      <c r="L141" s="2">
        <f>SUM(Tabla1[[#This Row],[Serv. Culturales Derecho Hab Publ]:[Soci Comedores Pensionados Jubl]])</f>
        <v>131629</v>
      </c>
    </row>
    <row r="142" spans="1:12" x14ac:dyDescent="0.3">
      <c r="A142" s="2">
        <v>2018</v>
      </c>
      <c r="B142" t="s">
        <v>4</v>
      </c>
      <c r="C142" s="2">
        <v>67456</v>
      </c>
      <c r="D142" s="2">
        <v>23896</v>
      </c>
      <c r="E142" s="2">
        <v>0</v>
      </c>
      <c r="F142" s="2">
        <v>29</v>
      </c>
      <c r="G142" s="2">
        <v>7827</v>
      </c>
      <c r="H142" s="2">
        <v>18299</v>
      </c>
      <c r="I142" s="2">
        <v>13524</v>
      </c>
      <c r="J142" s="2">
        <v>0</v>
      </c>
      <c r="K142" s="1">
        <v>43101</v>
      </c>
      <c r="L142" s="2">
        <f>SUM(Tabla1[[#This Row],[Serv. Culturales Derecho Hab Publ]:[Soci Comedores Pensionados Jubl]])</f>
        <v>131031</v>
      </c>
    </row>
    <row r="143" spans="1:12" x14ac:dyDescent="0.3">
      <c r="A143" s="2">
        <v>2014</v>
      </c>
      <c r="B143" t="s">
        <v>7</v>
      </c>
      <c r="C143" s="2">
        <v>62371</v>
      </c>
      <c r="D143" s="2">
        <v>44928</v>
      </c>
      <c r="E143" s="2">
        <v>0</v>
      </c>
      <c r="F143" s="2">
        <v>16</v>
      </c>
      <c r="G143" s="2">
        <v>4429</v>
      </c>
      <c r="H143" s="2">
        <v>12643</v>
      </c>
      <c r="I143" s="2">
        <v>5720</v>
      </c>
      <c r="J143" s="2">
        <v>0</v>
      </c>
      <c r="K143" s="1">
        <v>41640</v>
      </c>
      <c r="L143" s="2">
        <f>SUM(Tabla1[[#This Row],[Serv. Culturales Derecho Hab Publ]:[Soci Comedores Pensionados Jubl]])</f>
        <v>130107</v>
      </c>
    </row>
    <row r="144" spans="1:12" x14ac:dyDescent="0.3">
      <c r="A144" s="2">
        <v>2013</v>
      </c>
      <c r="B144" t="s">
        <v>4</v>
      </c>
      <c r="C144" s="2">
        <v>75766</v>
      </c>
      <c r="D144" s="2">
        <v>37125</v>
      </c>
      <c r="E144" s="2">
        <v>0</v>
      </c>
      <c r="F144" s="2">
        <v>36</v>
      </c>
      <c r="G144" s="2">
        <v>6205</v>
      </c>
      <c r="H144" s="2">
        <v>1300</v>
      </c>
      <c r="I144" s="2">
        <v>9513</v>
      </c>
      <c r="J144" s="2">
        <v>0</v>
      </c>
      <c r="K144" s="1">
        <v>41275</v>
      </c>
      <c r="L144" s="2">
        <f>SUM(Tabla1[[#This Row],[Serv. Culturales Derecho Hab Publ]:[Soci Comedores Pensionados Jubl]])</f>
        <v>129945</v>
      </c>
    </row>
    <row r="145" spans="1:12" x14ac:dyDescent="0.3">
      <c r="A145" s="2">
        <v>2014</v>
      </c>
      <c r="B145" t="s">
        <v>15</v>
      </c>
      <c r="C145" s="2">
        <v>54049</v>
      </c>
      <c r="D145" s="2">
        <v>56161</v>
      </c>
      <c r="E145" s="2">
        <v>0</v>
      </c>
      <c r="F145" s="2">
        <v>321</v>
      </c>
      <c r="G145" s="2">
        <v>4632</v>
      </c>
      <c r="H145" s="2">
        <v>1805</v>
      </c>
      <c r="I145" s="2">
        <v>11885</v>
      </c>
      <c r="J145" s="2">
        <v>0</v>
      </c>
      <c r="K145" s="1">
        <v>41640</v>
      </c>
      <c r="L145" s="2">
        <f>SUM(Tabla1[[#This Row],[Serv. Culturales Derecho Hab Publ]:[Soci Comedores Pensionados Jubl]])</f>
        <v>128853</v>
      </c>
    </row>
    <row r="146" spans="1:12" x14ac:dyDescent="0.3">
      <c r="A146" s="2">
        <v>2015</v>
      </c>
      <c r="B146" t="s">
        <v>19</v>
      </c>
      <c r="C146" s="2">
        <v>63340</v>
      </c>
      <c r="D146" s="2">
        <v>48121</v>
      </c>
      <c r="E146" s="2">
        <v>0</v>
      </c>
      <c r="F146" s="2">
        <v>89</v>
      </c>
      <c r="G146" s="2">
        <v>2136</v>
      </c>
      <c r="H146" s="2">
        <v>8829</v>
      </c>
      <c r="I146" s="2">
        <v>5856</v>
      </c>
      <c r="J146" s="2">
        <v>0</v>
      </c>
      <c r="K146" s="1">
        <v>42005</v>
      </c>
      <c r="L146" s="2">
        <f>SUM(Tabla1[[#This Row],[Serv. Culturales Derecho Hab Publ]:[Soci Comedores Pensionados Jubl]])</f>
        <v>128371</v>
      </c>
    </row>
    <row r="147" spans="1:12" x14ac:dyDescent="0.3">
      <c r="A147" s="2">
        <v>2017</v>
      </c>
      <c r="B147" t="s">
        <v>49</v>
      </c>
      <c r="C147" s="2">
        <v>51946</v>
      </c>
      <c r="D147" s="2">
        <v>38068</v>
      </c>
      <c r="E147" s="2">
        <v>0</v>
      </c>
      <c r="F147" s="2">
        <v>36</v>
      </c>
      <c r="G147" s="2">
        <v>11962</v>
      </c>
      <c r="H147" s="2">
        <v>6942</v>
      </c>
      <c r="I147" s="2">
        <v>18551</v>
      </c>
      <c r="J147" s="2">
        <v>0</v>
      </c>
      <c r="K147" s="1">
        <v>42736</v>
      </c>
      <c r="L147" s="2">
        <f>SUM(Tabla1[[#This Row],[Serv. Culturales Derecho Hab Publ]:[Soci Comedores Pensionados Jubl]])</f>
        <v>127505</v>
      </c>
    </row>
    <row r="148" spans="1:12" x14ac:dyDescent="0.3">
      <c r="A148" s="2">
        <v>2018</v>
      </c>
      <c r="B148" t="s">
        <v>32</v>
      </c>
      <c r="C148" s="2">
        <v>67147</v>
      </c>
      <c r="D148" s="2">
        <v>40468</v>
      </c>
      <c r="E148" s="2">
        <v>0</v>
      </c>
      <c r="F148" s="2">
        <v>55</v>
      </c>
      <c r="G148" s="2">
        <v>4987</v>
      </c>
      <c r="H148" s="2">
        <v>3952</v>
      </c>
      <c r="I148" s="2">
        <v>10182</v>
      </c>
      <c r="J148" s="2">
        <v>0</v>
      </c>
      <c r="K148" s="1">
        <v>43101</v>
      </c>
      <c r="L148" s="2">
        <f>SUM(Tabla1[[#This Row],[Serv. Culturales Derecho Hab Publ]:[Soci Comedores Pensionados Jubl]])</f>
        <v>126791</v>
      </c>
    </row>
    <row r="149" spans="1:12" x14ac:dyDescent="0.3">
      <c r="A149" s="2">
        <v>2016</v>
      </c>
      <c r="B149" t="s">
        <v>11</v>
      </c>
      <c r="C149" s="2">
        <v>106131</v>
      </c>
      <c r="D149" s="2">
        <v>0</v>
      </c>
      <c r="E149" s="2">
        <v>0</v>
      </c>
      <c r="F149" s="2">
        <v>0</v>
      </c>
      <c r="G149" s="2">
        <v>8657</v>
      </c>
      <c r="H149" s="2">
        <v>2758</v>
      </c>
      <c r="I149" s="2">
        <v>8040</v>
      </c>
      <c r="J149" s="2">
        <v>0</v>
      </c>
      <c r="K149" s="1">
        <v>42370</v>
      </c>
      <c r="L149" s="2">
        <f>SUM(Tabla1[[#This Row],[Serv. Culturales Derecho Hab Publ]:[Soci Comedores Pensionados Jubl]])</f>
        <v>125586</v>
      </c>
    </row>
    <row r="150" spans="1:12" x14ac:dyDescent="0.3">
      <c r="A150" s="2">
        <v>2014</v>
      </c>
      <c r="B150" t="s">
        <v>8</v>
      </c>
      <c r="C150" s="2">
        <v>55334</v>
      </c>
      <c r="D150" s="2">
        <v>63296</v>
      </c>
      <c r="E150" s="2">
        <v>0</v>
      </c>
      <c r="F150" s="2">
        <v>95</v>
      </c>
      <c r="G150" s="2">
        <v>0</v>
      </c>
      <c r="H150" s="2">
        <v>2414</v>
      </c>
      <c r="I150" s="2">
        <v>4410</v>
      </c>
      <c r="J150" s="2">
        <v>0</v>
      </c>
      <c r="K150" s="1">
        <v>41640</v>
      </c>
      <c r="L150" s="2">
        <f>SUM(Tabla1[[#This Row],[Serv. Culturales Derecho Hab Publ]:[Soci Comedores Pensionados Jubl]])</f>
        <v>125549</v>
      </c>
    </row>
    <row r="151" spans="1:12" x14ac:dyDescent="0.3">
      <c r="A151" s="2">
        <v>2015</v>
      </c>
      <c r="B151" t="s">
        <v>4</v>
      </c>
      <c r="C151" s="2">
        <v>69174</v>
      </c>
      <c r="D151" s="2">
        <v>36867</v>
      </c>
      <c r="E151" s="2">
        <v>0</v>
      </c>
      <c r="F151" s="2">
        <v>95</v>
      </c>
      <c r="G151" s="2">
        <v>6191</v>
      </c>
      <c r="H151" s="2">
        <v>1315</v>
      </c>
      <c r="I151" s="2">
        <v>10975</v>
      </c>
      <c r="J151" s="2">
        <v>0</v>
      </c>
      <c r="K151" s="1">
        <v>42005</v>
      </c>
      <c r="L151" s="2">
        <f>SUM(Tabla1[[#This Row],[Serv. Culturales Derecho Hab Publ]:[Soci Comedores Pensionados Jubl]])</f>
        <v>124617</v>
      </c>
    </row>
    <row r="152" spans="1:12" x14ac:dyDescent="0.3">
      <c r="A152" s="2">
        <v>2014</v>
      </c>
      <c r="B152" t="s">
        <v>22</v>
      </c>
      <c r="C152" s="2">
        <v>57523</v>
      </c>
      <c r="D152" s="2">
        <v>57413</v>
      </c>
      <c r="E152" s="2">
        <v>0</v>
      </c>
      <c r="F152" s="2">
        <v>63</v>
      </c>
      <c r="G152" s="2">
        <v>3784</v>
      </c>
      <c r="H152" s="2">
        <v>4793</v>
      </c>
      <c r="I152" s="2">
        <v>984</v>
      </c>
      <c r="J152" s="2">
        <v>0</v>
      </c>
      <c r="K152" s="1">
        <v>41640</v>
      </c>
      <c r="L152" s="2">
        <f>SUM(Tabla1[[#This Row],[Serv. Culturales Derecho Hab Publ]:[Soci Comedores Pensionados Jubl]])</f>
        <v>124560</v>
      </c>
    </row>
    <row r="153" spans="1:12" x14ac:dyDescent="0.3">
      <c r="A153" s="2">
        <v>2018</v>
      </c>
      <c r="B153" t="s">
        <v>49</v>
      </c>
      <c r="C153" s="2">
        <v>55687</v>
      </c>
      <c r="D153" s="2">
        <v>39038</v>
      </c>
      <c r="E153" s="2">
        <v>0</v>
      </c>
      <c r="F153" s="2">
        <v>15</v>
      </c>
      <c r="G153" s="2">
        <v>7835</v>
      </c>
      <c r="H153" s="2">
        <v>9476</v>
      </c>
      <c r="I153" s="2">
        <v>12450</v>
      </c>
      <c r="J153" s="2">
        <v>0</v>
      </c>
      <c r="K153" s="1">
        <v>43101</v>
      </c>
      <c r="L153" s="2">
        <f>SUM(Tabla1[[#This Row],[Serv. Culturales Derecho Hab Publ]:[Soci Comedores Pensionados Jubl]])</f>
        <v>124501</v>
      </c>
    </row>
    <row r="154" spans="1:12" x14ac:dyDescent="0.3">
      <c r="A154" s="2">
        <v>2013</v>
      </c>
      <c r="B154" t="s">
        <v>16</v>
      </c>
      <c r="C154" s="2">
        <v>60073</v>
      </c>
      <c r="D154" s="2">
        <v>47505</v>
      </c>
      <c r="E154" s="2">
        <v>0</v>
      </c>
      <c r="F154" s="2">
        <v>47</v>
      </c>
      <c r="G154" s="2">
        <v>6610</v>
      </c>
      <c r="H154" s="2">
        <v>2273</v>
      </c>
      <c r="I154" s="2">
        <v>7956</v>
      </c>
      <c r="J154" s="2">
        <v>0</v>
      </c>
      <c r="K154" s="1">
        <v>41275</v>
      </c>
      <c r="L154" s="2">
        <f>SUM(Tabla1[[#This Row],[Serv. Culturales Derecho Hab Publ]:[Soci Comedores Pensionados Jubl]])</f>
        <v>124464</v>
      </c>
    </row>
    <row r="155" spans="1:12" x14ac:dyDescent="0.3">
      <c r="A155" s="2">
        <v>2018</v>
      </c>
      <c r="B155" t="s">
        <v>22</v>
      </c>
      <c r="C155" s="2">
        <v>62324</v>
      </c>
      <c r="D155" s="2">
        <v>51174</v>
      </c>
      <c r="E155" s="2">
        <v>0</v>
      </c>
      <c r="F155" s="2">
        <v>72</v>
      </c>
      <c r="G155" s="2">
        <v>4193</v>
      </c>
      <c r="H155" s="2">
        <v>4068</v>
      </c>
      <c r="I155" s="2">
        <v>1130</v>
      </c>
      <c r="J155" s="2">
        <v>0</v>
      </c>
      <c r="K155" s="1">
        <v>43101</v>
      </c>
      <c r="L155" s="2">
        <f>SUM(Tabla1[[#This Row],[Serv. Culturales Derecho Hab Publ]:[Soci Comedores Pensionados Jubl]])</f>
        <v>122961</v>
      </c>
    </row>
    <row r="156" spans="1:12" x14ac:dyDescent="0.3">
      <c r="A156" s="2">
        <v>2016</v>
      </c>
      <c r="B156" t="s">
        <v>3</v>
      </c>
      <c r="C156" s="2">
        <v>50498</v>
      </c>
      <c r="D156" s="2">
        <v>0</v>
      </c>
      <c r="E156" s="2">
        <v>0</v>
      </c>
      <c r="F156" s="2">
        <v>0</v>
      </c>
      <c r="G156" s="2">
        <v>52128</v>
      </c>
      <c r="H156" s="2">
        <v>12022</v>
      </c>
      <c r="I156" s="2">
        <v>5995</v>
      </c>
      <c r="J156" s="2">
        <v>0</v>
      </c>
      <c r="K156" s="1">
        <v>42370</v>
      </c>
      <c r="L156" s="2">
        <f>SUM(Tabla1[[#This Row],[Serv. Culturales Derecho Hab Publ]:[Soci Comedores Pensionados Jubl]])</f>
        <v>120643</v>
      </c>
    </row>
    <row r="157" spans="1:12" x14ac:dyDescent="0.3">
      <c r="A157" s="2">
        <v>2019</v>
      </c>
      <c r="B157" t="s">
        <v>5</v>
      </c>
      <c r="C157" s="2">
        <v>68503</v>
      </c>
      <c r="D157" s="2">
        <v>19130</v>
      </c>
      <c r="E157" s="2">
        <v>0</v>
      </c>
      <c r="F157" s="2">
        <v>50</v>
      </c>
      <c r="G157" s="2">
        <v>1369</v>
      </c>
      <c r="H157" s="2">
        <v>14329</v>
      </c>
      <c r="I157" s="2">
        <v>16853</v>
      </c>
      <c r="J157" s="2">
        <v>0</v>
      </c>
      <c r="K157" s="1">
        <v>43466</v>
      </c>
      <c r="L157" s="2">
        <f>SUM(Tabla1[[#This Row],[Serv. Culturales Derecho Hab Publ]:[Soci Comedores Pensionados Jubl]])</f>
        <v>120234</v>
      </c>
    </row>
    <row r="158" spans="1:12" x14ac:dyDescent="0.3">
      <c r="A158" s="2">
        <v>2017</v>
      </c>
      <c r="B158" t="s">
        <v>47</v>
      </c>
      <c r="C158" s="2">
        <v>67230</v>
      </c>
      <c r="D158" s="2">
        <v>29210</v>
      </c>
      <c r="E158" s="2">
        <v>0</v>
      </c>
      <c r="F158" s="2">
        <v>5</v>
      </c>
      <c r="G158" s="2">
        <v>9461</v>
      </c>
      <c r="H158" s="2">
        <v>3608</v>
      </c>
      <c r="I158" s="2">
        <v>10177</v>
      </c>
      <c r="J158" s="2">
        <v>0</v>
      </c>
      <c r="K158" s="1">
        <v>42736</v>
      </c>
      <c r="L158" s="2">
        <f>SUM(Tabla1[[#This Row],[Serv. Culturales Derecho Hab Publ]:[Soci Comedores Pensionados Jubl]])</f>
        <v>119691</v>
      </c>
    </row>
    <row r="159" spans="1:12" x14ac:dyDescent="0.3">
      <c r="A159" s="2">
        <v>2013</v>
      </c>
      <c r="B159" t="s">
        <v>6</v>
      </c>
      <c r="C159" s="2">
        <v>39497</v>
      </c>
      <c r="D159" s="2">
        <v>57939</v>
      </c>
      <c r="E159" s="2">
        <v>0</v>
      </c>
      <c r="F159" s="2">
        <v>165</v>
      </c>
      <c r="G159" s="2">
        <v>11111</v>
      </c>
      <c r="H159" s="2">
        <v>2543</v>
      </c>
      <c r="I159" s="2">
        <v>7611</v>
      </c>
      <c r="J159" s="2">
        <v>0</v>
      </c>
      <c r="K159" s="1">
        <v>41275</v>
      </c>
      <c r="L159" s="2">
        <f>SUM(Tabla1[[#This Row],[Serv. Culturales Derecho Hab Publ]:[Soci Comedores Pensionados Jubl]])</f>
        <v>118866</v>
      </c>
    </row>
    <row r="160" spans="1:12" x14ac:dyDescent="0.3">
      <c r="A160" s="2">
        <v>2019</v>
      </c>
      <c r="B160" t="s">
        <v>26</v>
      </c>
      <c r="C160" s="2">
        <v>0</v>
      </c>
      <c r="D160" s="2">
        <v>0</v>
      </c>
      <c r="E160" s="2">
        <v>91806</v>
      </c>
      <c r="F160" s="2">
        <v>0</v>
      </c>
      <c r="G160" s="2">
        <v>0</v>
      </c>
      <c r="H160" s="2">
        <v>0</v>
      </c>
      <c r="I160" s="2">
        <v>0</v>
      </c>
      <c r="J160" s="2">
        <v>25685</v>
      </c>
      <c r="K160" s="1">
        <v>43466</v>
      </c>
      <c r="L160" s="2">
        <f>SUM(Tabla1[[#This Row],[Serv. Culturales Derecho Hab Publ]:[Soci Comedores Pensionados Jubl]])</f>
        <v>117491</v>
      </c>
    </row>
    <row r="161" spans="1:12" x14ac:dyDescent="0.3">
      <c r="A161" s="2">
        <v>2016</v>
      </c>
      <c r="B161" t="s">
        <v>23</v>
      </c>
      <c r="C161" s="2">
        <v>90445</v>
      </c>
      <c r="D161" s="2">
        <v>0</v>
      </c>
      <c r="E161" s="2">
        <v>0</v>
      </c>
      <c r="F161" s="2">
        <v>0</v>
      </c>
      <c r="G161" s="2">
        <v>8785</v>
      </c>
      <c r="H161" s="2">
        <v>9620</v>
      </c>
      <c r="I161" s="2">
        <v>8454</v>
      </c>
      <c r="J161" s="2">
        <v>0</v>
      </c>
      <c r="K161" s="1">
        <v>42370</v>
      </c>
      <c r="L161" s="2">
        <f>SUM(Tabla1[[#This Row],[Serv. Culturales Derecho Hab Publ]:[Soci Comedores Pensionados Jubl]])</f>
        <v>117304</v>
      </c>
    </row>
    <row r="162" spans="1:12" x14ac:dyDescent="0.3">
      <c r="A162" s="2">
        <v>2017</v>
      </c>
      <c r="B162" t="s">
        <v>4</v>
      </c>
      <c r="C162" s="2">
        <v>68319</v>
      </c>
      <c r="D162" s="2">
        <v>30959</v>
      </c>
      <c r="E162" s="2">
        <v>0</v>
      </c>
      <c r="F162" s="2">
        <v>84</v>
      </c>
      <c r="G162" s="2">
        <v>6429</v>
      </c>
      <c r="H162" s="2">
        <v>1386</v>
      </c>
      <c r="I162" s="2">
        <v>9633</v>
      </c>
      <c r="J162" s="2">
        <v>0</v>
      </c>
      <c r="K162" s="1">
        <v>42736</v>
      </c>
      <c r="L162" s="2">
        <f>SUM(Tabla1[[#This Row],[Serv. Culturales Derecho Hab Publ]:[Soci Comedores Pensionados Jubl]])</f>
        <v>116810</v>
      </c>
    </row>
    <row r="163" spans="1:12" x14ac:dyDescent="0.3">
      <c r="A163" s="2">
        <v>2019</v>
      </c>
      <c r="B163" t="s">
        <v>2</v>
      </c>
      <c r="C163" s="2">
        <v>55339</v>
      </c>
      <c r="D163" s="2">
        <v>40337</v>
      </c>
      <c r="E163" s="2">
        <v>0</v>
      </c>
      <c r="F163" s="2">
        <v>46</v>
      </c>
      <c r="G163" s="2">
        <v>7785</v>
      </c>
      <c r="H163" s="2">
        <v>4750</v>
      </c>
      <c r="I163" s="2">
        <v>8162</v>
      </c>
      <c r="J163" s="2">
        <v>0</v>
      </c>
      <c r="K163" s="1">
        <v>43466</v>
      </c>
      <c r="L163" s="2">
        <f>SUM(Tabla1[[#This Row],[Serv. Culturales Derecho Hab Publ]:[Soci Comedores Pensionados Jubl]])</f>
        <v>116419</v>
      </c>
    </row>
    <row r="164" spans="1:12" x14ac:dyDescent="0.3">
      <c r="A164" s="2">
        <v>2018</v>
      </c>
      <c r="B164" t="s">
        <v>12</v>
      </c>
      <c r="C164" s="2">
        <v>84731</v>
      </c>
      <c r="D164" s="2">
        <v>18619</v>
      </c>
      <c r="E164" s="2">
        <v>0</v>
      </c>
      <c r="F164" s="2">
        <v>62</v>
      </c>
      <c r="G164" s="2">
        <v>1803</v>
      </c>
      <c r="H164" s="2">
        <v>5039</v>
      </c>
      <c r="I164" s="2">
        <v>5945</v>
      </c>
      <c r="J164" s="2">
        <v>0</v>
      </c>
      <c r="K164" s="1">
        <v>43101</v>
      </c>
      <c r="L164" s="2">
        <f>SUM(Tabla1[[#This Row],[Serv. Culturales Derecho Hab Publ]:[Soci Comedores Pensionados Jubl]])</f>
        <v>116199</v>
      </c>
    </row>
    <row r="165" spans="1:12" x14ac:dyDescent="0.3">
      <c r="A165" s="2">
        <v>2018</v>
      </c>
      <c r="B165" t="s">
        <v>13</v>
      </c>
      <c r="C165" s="2">
        <v>50722</v>
      </c>
      <c r="D165" s="2">
        <v>56171</v>
      </c>
      <c r="E165" s="2">
        <v>0</v>
      </c>
      <c r="F165" s="2">
        <v>249</v>
      </c>
      <c r="G165" s="2">
        <v>2904</v>
      </c>
      <c r="H165" s="2">
        <v>3292</v>
      </c>
      <c r="I165" s="2">
        <v>2030</v>
      </c>
      <c r="J165" s="2">
        <v>0</v>
      </c>
      <c r="K165" s="1">
        <v>43101</v>
      </c>
      <c r="L165" s="2">
        <f>SUM(Tabla1[[#This Row],[Serv. Culturales Derecho Hab Publ]:[Soci Comedores Pensionados Jubl]])</f>
        <v>115368</v>
      </c>
    </row>
    <row r="166" spans="1:12" x14ac:dyDescent="0.3">
      <c r="A166" s="2">
        <v>2015</v>
      </c>
      <c r="B166" t="s">
        <v>22</v>
      </c>
      <c r="C166" s="2">
        <v>59809</v>
      </c>
      <c r="D166" s="2">
        <v>47295</v>
      </c>
      <c r="E166" s="2">
        <v>0</v>
      </c>
      <c r="F166" s="2">
        <v>58</v>
      </c>
      <c r="G166" s="2">
        <v>3934</v>
      </c>
      <c r="H166" s="2">
        <v>1675</v>
      </c>
      <c r="I166" s="2">
        <v>2091</v>
      </c>
      <c r="J166" s="2">
        <v>0</v>
      </c>
      <c r="K166" s="1">
        <v>42005</v>
      </c>
      <c r="L166" s="2">
        <f>SUM(Tabla1[[#This Row],[Serv. Culturales Derecho Hab Publ]:[Soci Comedores Pensionados Jubl]])</f>
        <v>114862</v>
      </c>
    </row>
    <row r="167" spans="1:12" x14ac:dyDescent="0.3">
      <c r="A167" s="2">
        <v>2019</v>
      </c>
      <c r="B167" t="s">
        <v>12</v>
      </c>
      <c r="C167" s="2">
        <v>79641</v>
      </c>
      <c r="D167" s="2">
        <v>21918</v>
      </c>
      <c r="E167" s="2">
        <v>0</v>
      </c>
      <c r="F167" s="2">
        <v>72</v>
      </c>
      <c r="G167" s="2">
        <v>1349</v>
      </c>
      <c r="H167" s="2">
        <v>5676</v>
      </c>
      <c r="I167" s="2">
        <v>4732</v>
      </c>
      <c r="J167" s="2">
        <v>0</v>
      </c>
      <c r="K167" s="1">
        <v>43466</v>
      </c>
      <c r="L167" s="2">
        <f>SUM(Tabla1[[#This Row],[Serv. Culturales Derecho Hab Publ]:[Soci Comedores Pensionados Jubl]])</f>
        <v>113388</v>
      </c>
    </row>
    <row r="168" spans="1:12" x14ac:dyDescent="0.3">
      <c r="A168" s="2">
        <v>2014</v>
      </c>
      <c r="B168" t="s">
        <v>11</v>
      </c>
      <c r="C168" s="2">
        <v>50549</v>
      </c>
      <c r="D168" s="2">
        <v>40021</v>
      </c>
      <c r="E168" s="2">
        <v>0</v>
      </c>
      <c r="F168" s="2">
        <v>447</v>
      </c>
      <c r="G168" s="2">
        <v>11373</v>
      </c>
      <c r="H168" s="2">
        <v>3200</v>
      </c>
      <c r="I168" s="2">
        <v>7721</v>
      </c>
      <c r="J168" s="2">
        <v>0</v>
      </c>
      <c r="K168" s="1">
        <v>41640</v>
      </c>
      <c r="L168" s="2">
        <f>SUM(Tabla1[[#This Row],[Serv. Culturales Derecho Hab Publ]:[Soci Comedores Pensionados Jubl]])</f>
        <v>113311</v>
      </c>
    </row>
    <row r="169" spans="1:12" x14ac:dyDescent="0.3">
      <c r="A169" s="2">
        <v>2013</v>
      </c>
      <c r="B169" t="s">
        <v>11</v>
      </c>
      <c r="C169" s="2">
        <v>43939</v>
      </c>
      <c r="D169" s="2">
        <v>36767</v>
      </c>
      <c r="E169" s="2">
        <v>0</v>
      </c>
      <c r="F169" s="2">
        <v>377</v>
      </c>
      <c r="G169" s="2">
        <v>22123</v>
      </c>
      <c r="H169" s="2">
        <v>3158</v>
      </c>
      <c r="I169" s="2">
        <v>6904</v>
      </c>
      <c r="J169" s="2">
        <v>0</v>
      </c>
      <c r="K169" s="1">
        <v>41275</v>
      </c>
      <c r="L169" s="2">
        <f>SUM(Tabla1[[#This Row],[Serv. Culturales Derecho Hab Publ]:[Soci Comedores Pensionados Jubl]])</f>
        <v>113268</v>
      </c>
    </row>
    <row r="170" spans="1:12" x14ac:dyDescent="0.3">
      <c r="A170" s="2">
        <v>2013</v>
      </c>
      <c r="B170" t="s">
        <v>46</v>
      </c>
      <c r="C170" s="2">
        <v>81763</v>
      </c>
      <c r="D170" s="2">
        <v>22479</v>
      </c>
      <c r="E170" s="2">
        <v>0</v>
      </c>
      <c r="F170" s="2">
        <v>3845</v>
      </c>
      <c r="G170" s="2">
        <v>0</v>
      </c>
      <c r="H170" s="2">
        <v>2378</v>
      </c>
      <c r="I170" s="2">
        <v>2488</v>
      </c>
      <c r="J170" s="2">
        <v>0</v>
      </c>
      <c r="K170" s="1">
        <v>41275</v>
      </c>
      <c r="L170" s="2">
        <f>SUM(Tabla1[[#This Row],[Serv. Culturales Derecho Hab Publ]:[Soci Comedores Pensionados Jubl]])</f>
        <v>112953</v>
      </c>
    </row>
    <row r="171" spans="1:12" x14ac:dyDescent="0.3">
      <c r="A171" s="2">
        <v>2019</v>
      </c>
      <c r="B171" t="s">
        <v>22</v>
      </c>
      <c r="C171" s="2">
        <v>55111</v>
      </c>
      <c r="D171" s="2">
        <v>48337</v>
      </c>
      <c r="E171" s="2">
        <v>0</v>
      </c>
      <c r="F171" s="2">
        <v>70</v>
      </c>
      <c r="G171" s="2">
        <v>3376</v>
      </c>
      <c r="H171" s="2">
        <v>4214</v>
      </c>
      <c r="I171" s="2">
        <v>1477</v>
      </c>
      <c r="J171" s="2">
        <v>0</v>
      </c>
      <c r="K171" s="1">
        <v>43466</v>
      </c>
      <c r="L171" s="2">
        <f>SUM(Tabla1[[#This Row],[Serv. Culturales Derecho Hab Publ]:[Soci Comedores Pensionados Jubl]])</f>
        <v>112585</v>
      </c>
    </row>
    <row r="172" spans="1:12" x14ac:dyDescent="0.3">
      <c r="A172" s="2">
        <v>2017</v>
      </c>
      <c r="B172" t="s">
        <v>26</v>
      </c>
      <c r="C172" s="2">
        <v>0</v>
      </c>
      <c r="D172" s="2">
        <v>0</v>
      </c>
      <c r="E172" s="2">
        <v>80090</v>
      </c>
      <c r="F172" s="2">
        <v>0</v>
      </c>
      <c r="G172" s="2">
        <v>0</v>
      </c>
      <c r="H172" s="2">
        <v>0</v>
      </c>
      <c r="I172" s="2">
        <v>10068</v>
      </c>
      <c r="J172" s="2">
        <v>21686</v>
      </c>
      <c r="K172" s="1">
        <v>42736</v>
      </c>
      <c r="L172" s="2">
        <f>SUM(Tabla1[[#This Row],[Serv. Culturales Derecho Hab Publ]:[Soci Comedores Pensionados Jubl]])</f>
        <v>111844</v>
      </c>
    </row>
    <row r="173" spans="1:12" x14ac:dyDescent="0.3">
      <c r="A173" s="2">
        <v>2013</v>
      </c>
      <c r="B173" t="s">
        <v>1</v>
      </c>
      <c r="C173" s="2">
        <v>63172</v>
      </c>
      <c r="D173" s="2">
        <v>35382</v>
      </c>
      <c r="E173" s="2">
        <v>0</v>
      </c>
      <c r="F173" s="2">
        <v>86</v>
      </c>
      <c r="G173" s="2">
        <v>1055</v>
      </c>
      <c r="H173" s="2">
        <v>1605</v>
      </c>
      <c r="I173" s="2">
        <v>10342</v>
      </c>
      <c r="J173" s="2">
        <v>0</v>
      </c>
      <c r="K173" s="1">
        <v>41275</v>
      </c>
      <c r="L173" s="2">
        <f>SUM(Tabla1[[#This Row],[Serv. Culturales Derecho Hab Publ]:[Soci Comedores Pensionados Jubl]])</f>
        <v>111642</v>
      </c>
    </row>
    <row r="174" spans="1:12" x14ac:dyDescent="0.3">
      <c r="A174" s="2">
        <v>2016</v>
      </c>
      <c r="B174" t="s">
        <v>27</v>
      </c>
      <c r="C174" s="2">
        <v>84266</v>
      </c>
      <c r="D174" s="2">
        <v>0</v>
      </c>
      <c r="E174" s="2">
        <v>0</v>
      </c>
      <c r="F174" s="2">
        <v>0</v>
      </c>
      <c r="G174" s="2">
        <v>2728</v>
      </c>
      <c r="H174" s="2">
        <v>13838</v>
      </c>
      <c r="I174" s="2">
        <v>9480</v>
      </c>
      <c r="J174" s="2">
        <v>0</v>
      </c>
      <c r="K174" s="1">
        <v>42370</v>
      </c>
      <c r="L174" s="2">
        <f>SUM(Tabla1[[#This Row],[Serv. Culturales Derecho Hab Publ]:[Soci Comedores Pensionados Jubl]])</f>
        <v>110312</v>
      </c>
    </row>
    <row r="175" spans="1:12" x14ac:dyDescent="0.3">
      <c r="A175" s="2">
        <v>2015</v>
      </c>
      <c r="B175" t="s">
        <v>26</v>
      </c>
      <c r="C175" s="2">
        <v>0</v>
      </c>
      <c r="D175" s="2">
        <v>0</v>
      </c>
      <c r="E175" s="2">
        <v>81804</v>
      </c>
      <c r="F175" s="2">
        <v>0</v>
      </c>
      <c r="G175" s="2">
        <v>0</v>
      </c>
      <c r="H175" s="2">
        <v>0</v>
      </c>
      <c r="I175" s="2">
        <v>0</v>
      </c>
      <c r="J175" s="2">
        <v>28158</v>
      </c>
      <c r="K175" s="1">
        <v>42005</v>
      </c>
      <c r="L175" s="2">
        <f>SUM(Tabla1[[#This Row],[Serv. Culturales Derecho Hab Publ]:[Soci Comedores Pensionados Jubl]])</f>
        <v>109962</v>
      </c>
    </row>
    <row r="176" spans="1:12" x14ac:dyDescent="0.3">
      <c r="A176" s="2">
        <v>2018</v>
      </c>
      <c r="B176" t="s">
        <v>8</v>
      </c>
      <c r="C176" s="2">
        <v>37452</v>
      </c>
      <c r="D176" s="2">
        <v>46664</v>
      </c>
      <c r="E176" s="2">
        <v>0</v>
      </c>
      <c r="F176" s="2">
        <v>108</v>
      </c>
      <c r="G176" s="2">
        <v>4111</v>
      </c>
      <c r="H176" s="2">
        <v>3037</v>
      </c>
      <c r="I176" s="2">
        <v>18098</v>
      </c>
      <c r="J176" s="2">
        <v>0</v>
      </c>
      <c r="K176" s="1">
        <v>43101</v>
      </c>
      <c r="L176" s="2">
        <f>SUM(Tabla1[[#This Row],[Serv. Culturales Derecho Hab Publ]:[Soci Comedores Pensionados Jubl]])</f>
        <v>109470</v>
      </c>
    </row>
    <row r="177" spans="1:12" x14ac:dyDescent="0.3">
      <c r="A177" s="2">
        <v>2016</v>
      </c>
      <c r="B177" t="s">
        <v>12</v>
      </c>
      <c r="C177" s="2">
        <v>90000</v>
      </c>
      <c r="D177" s="2">
        <v>0</v>
      </c>
      <c r="E177" s="2">
        <v>0</v>
      </c>
      <c r="F177" s="2">
        <v>0</v>
      </c>
      <c r="G177" s="2">
        <v>1835</v>
      </c>
      <c r="H177" s="2">
        <v>3249</v>
      </c>
      <c r="I177" s="2">
        <v>14083</v>
      </c>
      <c r="J177" s="2">
        <v>0</v>
      </c>
      <c r="K177" s="1">
        <v>42370</v>
      </c>
      <c r="L177" s="2">
        <f>SUM(Tabla1[[#This Row],[Serv. Culturales Derecho Hab Publ]:[Soci Comedores Pensionados Jubl]])</f>
        <v>109167</v>
      </c>
    </row>
    <row r="178" spans="1:12" x14ac:dyDescent="0.3">
      <c r="A178" s="2">
        <v>2018</v>
      </c>
      <c r="B178" t="s">
        <v>5</v>
      </c>
      <c r="C178" s="2">
        <v>58020</v>
      </c>
      <c r="D178" s="2">
        <v>20673</v>
      </c>
      <c r="E178" s="2">
        <v>0</v>
      </c>
      <c r="F178" s="2">
        <v>153</v>
      </c>
      <c r="G178" s="2">
        <v>2074</v>
      </c>
      <c r="H178" s="2">
        <v>14528</v>
      </c>
      <c r="I178" s="2">
        <v>13402</v>
      </c>
      <c r="J178" s="2">
        <v>0</v>
      </c>
      <c r="K178" s="1">
        <v>43101</v>
      </c>
      <c r="L178" s="2">
        <f>SUM(Tabla1[[#This Row],[Serv. Culturales Derecho Hab Publ]:[Soci Comedores Pensionados Jubl]])</f>
        <v>108850</v>
      </c>
    </row>
    <row r="179" spans="1:12" x14ac:dyDescent="0.3">
      <c r="A179" s="2">
        <v>2013</v>
      </c>
      <c r="B179" t="s">
        <v>22</v>
      </c>
      <c r="C179" s="2">
        <v>40535</v>
      </c>
      <c r="D179" s="2">
        <v>58583</v>
      </c>
      <c r="E179" s="2">
        <v>0</v>
      </c>
      <c r="F179" s="2">
        <v>76</v>
      </c>
      <c r="G179" s="2">
        <v>3455</v>
      </c>
      <c r="H179" s="2">
        <v>4384</v>
      </c>
      <c r="I179" s="2">
        <v>1263</v>
      </c>
      <c r="J179" s="2">
        <v>0</v>
      </c>
      <c r="K179" s="1">
        <v>41275</v>
      </c>
      <c r="L179" s="2">
        <f>SUM(Tabla1[[#This Row],[Serv. Culturales Derecho Hab Publ]:[Soci Comedores Pensionados Jubl]])</f>
        <v>108296</v>
      </c>
    </row>
    <row r="180" spans="1:12" x14ac:dyDescent="0.3">
      <c r="A180" s="2">
        <v>2015</v>
      </c>
      <c r="B180" t="s">
        <v>49</v>
      </c>
      <c r="C180" s="2">
        <v>38881</v>
      </c>
      <c r="D180" s="2">
        <v>48376</v>
      </c>
      <c r="E180" s="2">
        <v>0</v>
      </c>
      <c r="F180" s="2">
        <v>13</v>
      </c>
      <c r="G180" s="2">
        <v>9292</v>
      </c>
      <c r="H180" s="2">
        <v>3332</v>
      </c>
      <c r="I180" s="2">
        <v>8359</v>
      </c>
      <c r="J180" s="2">
        <v>0</v>
      </c>
      <c r="K180" s="1">
        <v>42005</v>
      </c>
      <c r="L180" s="2">
        <f>SUM(Tabla1[[#This Row],[Serv. Culturales Derecho Hab Publ]:[Soci Comedores Pensionados Jubl]])</f>
        <v>108253</v>
      </c>
    </row>
    <row r="181" spans="1:12" x14ac:dyDescent="0.3">
      <c r="A181" s="2">
        <v>2015</v>
      </c>
      <c r="B181" t="s">
        <v>8</v>
      </c>
      <c r="C181" s="2">
        <v>33575</v>
      </c>
      <c r="D181" s="2">
        <v>64023</v>
      </c>
      <c r="E181" s="2">
        <v>0</v>
      </c>
      <c r="F181" s="2">
        <v>61</v>
      </c>
      <c r="G181" s="2">
        <v>595</v>
      </c>
      <c r="H181" s="2">
        <v>2319</v>
      </c>
      <c r="I181" s="2">
        <v>7316</v>
      </c>
      <c r="J181" s="2">
        <v>0</v>
      </c>
      <c r="K181" s="1">
        <v>42005</v>
      </c>
      <c r="L181" s="2">
        <f>SUM(Tabla1[[#This Row],[Serv. Culturales Derecho Hab Publ]:[Soci Comedores Pensionados Jubl]])</f>
        <v>107889</v>
      </c>
    </row>
    <row r="182" spans="1:12" x14ac:dyDescent="0.3">
      <c r="A182" s="2">
        <v>2017</v>
      </c>
      <c r="B182" t="s">
        <v>12</v>
      </c>
      <c r="C182" s="2">
        <v>81174</v>
      </c>
      <c r="D182" s="2">
        <v>14002</v>
      </c>
      <c r="E182" s="2">
        <v>0</v>
      </c>
      <c r="F182" s="2">
        <v>54</v>
      </c>
      <c r="G182" s="2">
        <v>2028</v>
      </c>
      <c r="H182" s="2">
        <v>4451</v>
      </c>
      <c r="I182" s="2">
        <v>6015</v>
      </c>
      <c r="J182" s="2">
        <v>0</v>
      </c>
      <c r="K182" s="1">
        <v>42736</v>
      </c>
      <c r="L182" s="2">
        <f>SUM(Tabla1[[#This Row],[Serv. Culturales Derecho Hab Publ]:[Soci Comedores Pensionados Jubl]])</f>
        <v>107724</v>
      </c>
    </row>
    <row r="183" spans="1:12" x14ac:dyDescent="0.3">
      <c r="A183" s="2">
        <v>2013</v>
      </c>
      <c r="B183" t="s">
        <v>49</v>
      </c>
      <c r="C183" s="2">
        <v>34708</v>
      </c>
      <c r="D183" s="2">
        <v>43956</v>
      </c>
      <c r="E183" s="2">
        <v>0</v>
      </c>
      <c r="F183" s="2">
        <v>47</v>
      </c>
      <c r="G183" s="2">
        <v>12766</v>
      </c>
      <c r="H183" s="2">
        <v>3459</v>
      </c>
      <c r="I183" s="2">
        <v>12622</v>
      </c>
      <c r="J183" s="2">
        <v>0</v>
      </c>
      <c r="K183" s="1">
        <v>41275</v>
      </c>
      <c r="L183" s="2">
        <f>SUM(Tabla1[[#This Row],[Serv. Culturales Derecho Hab Publ]:[Soci Comedores Pensionados Jubl]])</f>
        <v>107558</v>
      </c>
    </row>
    <row r="184" spans="1:12" x14ac:dyDescent="0.3">
      <c r="A184" s="2">
        <v>2018</v>
      </c>
      <c r="B184" t="s">
        <v>17</v>
      </c>
      <c r="C184" s="2">
        <v>67576</v>
      </c>
      <c r="D184" s="2">
        <v>15854</v>
      </c>
      <c r="E184" s="2">
        <v>0</v>
      </c>
      <c r="F184" s="2">
        <v>0</v>
      </c>
      <c r="G184" s="2">
        <v>13449</v>
      </c>
      <c r="H184" s="2">
        <v>1537</v>
      </c>
      <c r="I184" s="2">
        <v>8196</v>
      </c>
      <c r="J184" s="2">
        <v>0</v>
      </c>
      <c r="K184" s="1">
        <v>43101</v>
      </c>
      <c r="L184" s="2">
        <f>SUM(Tabla1[[#This Row],[Serv. Culturales Derecho Hab Publ]:[Soci Comedores Pensionados Jubl]])</f>
        <v>106612</v>
      </c>
    </row>
    <row r="185" spans="1:12" x14ac:dyDescent="0.3">
      <c r="A185" s="2">
        <v>2019</v>
      </c>
      <c r="B185" t="s">
        <v>8</v>
      </c>
      <c r="C185" s="2">
        <v>56113</v>
      </c>
      <c r="D185" s="2">
        <v>39688</v>
      </c>
      <c r="E185" s="2">
        <v>0</v>
      </c>
      <c r="F185" s="2">
        <v>119</v>
      </c>
      <c r="G185" s="2">
        <v>295</v>
      </c>
      <c r="H185" s="2">
        <v>1956</v>
      </c>
      <c r="I185" s="2">
        <v>7471</v>
      </c>
      <c r="J185" s="2">
        <v>0</v>
      </c>
      <c r="K185" s="1">
        <v>43466</v>
      </c>
      <c r="L185" s="2">
        <f>SUM(Tabla1[[#This Row],[Serv. Culturales Derecho Hab Publ]:[Soci Comedores Pensionados Jubl]])</f>
        <v>105642</v>
      </c>
    </row>
    <row r="186" spans="1:12" x14ac:dyDescent="0.3">
      <c r="A186" s="2">
        <v>2017</v>
      </c>
      <c r="B186" t="s">
        <v>13</v>
      </c>
      <c r="C186" s="2">
        <v>46665</v>
      </c>
      <c r="D186" s="2">
        <v>49605</v>
      </c>
      <c r="E186" s="2">
        <v>0</v>
      </c>
      <c r="F186" s="2">
        <v>265</v>
      </c>
      <c r="G186" s="2">
        <v>2488</v>
      </c>
      <c r="H186" s="2">
        <v>3296</v>
      </c>
      <c r="I186" s="2">
        <v>3096</v>
      </c>
      <c r="J186" s="2">
        <v>0</v>
      </c>
      <c r="K186" s="1">
        <v>42736</v>
      </c>
      <c r="L186" s="2">
        <f>SUM(Tabla1[[#This Row],[Serv. Culturales Derecho Hab Publ]:[Soci Comedores Pensionados Jubl]])</f>
        <v>105415</v>
      </c>
    </row>
    <row r="187" spans="1:12" x14ac:dyDescent="0.3">
      <c r="A187" s="2">
        <v>2017</v>
      </c>
      <c r="B187" t="s">
        <v>17</v>
      </c>
      <c r="C187" s="2">
        <v>67339</v>
      </c>
      <c r="D187" s="2">
        <v>15312</v>
      </c>
      <c r="E187" s="2">
        <v>0</v>
      </c>
      <c r="F187" s="2">
        <v>0</v>
      </c>
      <c r="G187" s="2">
        <v>12669</v>
      </c>
      <c r="H187" s="2">
        <v>1521</v>
      </c>
      <c r="I187" s="2">
        <v>8259</v>
      </c>
      <c r="J187" s="2">
        <v>0</v>
      </c>
      <c r="K187" s="1">
        <v>42736</v>
      </c>
      <c r="L187" s="2">
        <f>SUM(Tabla1[[#This Row],[Serv. Culturales Derecho Hab Publ]:[Soci Comedores Pensionados Jubl]])</f>
        <v>105100</v>
      </c>
    </row>
    <row r="188" spans="1:12" x14ac:dyDescent="0.3">
      <c r="A188" s="2">
        <v>2014</v>
      </c>
      <c r="B188" t="s">
        <v>26</v>
      </c>
      <c r="C188" s="2">
        <v>0</v>
      </c>
      <c r="D188" s="2">
        <v>0</v>
      </c>
      <c r="E188" s="2">
        <v>78209</v>
      </c>
      <c r="F188" s="2">
        <v>0</v>
      </c>
      <c r="G188" s="2">
        <v>0</v>
      </c>
      <c r="H188" s="2">
        <v>0</v>
      </c>
      <c r="I188" s="2">
        <v>0</v>
      </c>
      <c r="J188" s="2">
        <v>25886</v>
      </c>
      <c r="K188" s="1">
        <v>41640</v>
      </c>
      <c r="L188" s="2">
        <f>SUM(Tabla1[[#This Row],[Serv. Culturales Derecho Hab Publ]:[Soci Comedores Pensionados Jubl]])</f>
        <v>104095</v>
      </c>
    </row>
    <row r="189" spans="1:12" x14ac:dyDescent="0.3">
      <c r="A189" s="2">
        <v>2016</v>
      </c>
      <c r="B189" t="s">
        <v>21</v>
      </c>
      <c r="C189" s="2">
        <v>85891</v>
      </c>
      <c r="D189" s="2">
        <v>0</v>
      </c>
      <c r="E189" s="2">
        <v>0</v>
      </c>
      <c r="F189" s="2">
        <v>0</v>
      </c>
      <c r="G189" s="2">
        <v>6991</v>
      </c>
      <c r="H189" s="2">
        <v>2198</v>
      </c>
      <c r="I189" s="2">
        <v>7513</v>
      </c>
      <c r="J189" s="2">
        <v>0</v>
      </c>
      <c r="K189" s="1">
        <v>42370</v>
      </c>
      <c r="L189" s="2">
        <f>SUM(Tabla1[[#This Row],[Serv. Culturales Derecho Hab Publ]:[Soci Comedores Pensionados Jubl]])</f>
        <v>102593</v>
      </c>
    </row>
    <row r="190" spans="1:12" x14ac:dyDescent="0.3">
      <c r="A190" s="2">
        <v>2018</v>
      </c>
      <c r="B190" t="s">
        <v>26</v>
      </c>
      <c r="C190" s="2">
        <v>0</v>
      </c>
      <c r="D190" s="2">
        <v>0</v>
      </c>
      <c r="E190" s="2">
        <v>70174</v>
      </c>
      <c r="F190" s="2">
        <v>0</v>
      </c>
      <c r="G190" s="2">
        <v>0</v>
      </c>
      <c r="H190" s="2">
        <v>0</v>
      </c>
      <c r="I190" s="2">
        <v>9847</v>
      </c>
      <c r="J190" s="2">
        <v>21052</v>
      </c>
      <c r="K190" s="1">
        <v>43101</v>
      </c>
      <c r="L190" s="2">
        <f>SUM(Tabla1[[#This Row],[Serv. Culturales Derecho Hab Publ]:[Soci Comedores Pensionados Jubl]])</f>
        <v>101073</v>
      </c>
    </row>
    <row r="191" spans="1:12" x14ac:dyDescent="0.3">
      <c r="A191" s="2">
        <v>2016</v>
      </c>
      <c r="B191" t="s">
        <v>48</v>
      </c>
      <c r="C191" s="2">
        <v>87877</v>
      </c>
      <c r="D191" s="2">
        <v>0</v>
      </c>
      <c r="E191" s="2">
        <v>0</v>
      </c>
      <c r="F191" s="2">
        <v>0</v>
      </c>
      <c r="G191" s="2">
        <v>3604</v>
      </c>
      <c r="H191" s="2">
        <v>1729</v>
      </c>
      <c r="I191" s="2">
        <v>7167</v>
      </c>
      <c r="J191" s="2">
        <v>0</v>
      </c>
      <c r="K191" s="1">
        <v>42370</v>
      </c>
      <c r="L191" s="2">
        <f>SUM(Tabla1[[#This Row],[Serv. Culturales Derecho Hab Publ]:[Soci Comedores Pensionados Jubl]])</f>
        <v>100377</v>
      </c>
    </row>
    <row r="192" spans="1:12" x14ac:dyDescent="0.3">
      <c r="A192" s="2">
        <v>2014</v>
      </c>
      <c r="B192" t="s">
        <v>18</v>
      </c>
      <c r="C192" s="2">
        <v>68395</v>
      </c>
      <c r="D192" s="2">
        <v>17727</v>
      </c>
      <c r="E192" s="2">
        <v>0</v>
      </c>
      <c r="F192" s="2">
        <v>56</v>
      </c>
      <c r="G192" s="2">
        <v>3774</v>
      </c>
      <c r="H192" s="2">
        <v>6149</v>
      </c>
      <c r="I192" s="2">
        <v>2724</v>
      </c>
      <c r="J192" s="2">
        <v>0</v>
      </c>
      <c r="K192" s="1">
        <v>41640</v>
      </c>
      <c r="L192" s="2">
        <f>SUM(Tabla1[[#This Row],[Serv. Culturales Derecho Hab Publ]:[Soci Comedores Pensionados Jubl]])</f>
        <v>98825</v>
      </c>
    </row>
    <row r="193" spans="1:12" x14ac:dyDescent="0.3">
      <c r="A193" s="2">
        <v>2019</v>
      </c>
      <c r="B193" t="s">
        <v>18</v>
      </c>
      <c r="C193" s="2">
        <v>69680</v>
      </c>
      <c r="D193" s="2">
        <v>16785</v>
      </c>
      <c r="E193" s="2">
        <v>0</v>
      </c>
      <c r="F193" s="2">
        <v>24</v>
      </c>
      <c r="G193" s="2">
        <v>941</v>
      </c>
      <c r="H193" s="2">
        <v>7849</v>
      </c>
      <c r="I193" s="2">
        <v>3526</v>
      </c>
      <c r="J193" s="2">
        <v>0</v>
      </c>
      <c r="K193" s="1">
        <v>43466</v>
      </c>
      <c r="L193" s="2">
        <f>SUM(Tabla1[[#This Row],[Serv. Culturales Derecho Hab Publ]:[Soci Comedores Pensionados Jubl]])</f>
        <v>98805</v>
      </c>
    </row>
    <row r="194" spans="1:12" x14ac:dyDescent="0.3">
      <c r="A194" s="2">
        <v>2019</v>
      </c>
      <c r="B194" t="s">
        <v>17</v>
      </c>
      <c r="C194" s="2">
        <v>66325</v>
      </c>
      <c r="D194" s="2">
        <v>15752</v>
      </c>
      <c r="E194" s="2">
        <v>0</v>
      </c>
      <c r="F194" s="2">
        <v>0</v>
      </c>
      <c r="G194" s="2">
        <v>5741</v>
      </c>
      <c r="H194" s="2">
        <v>1112</v>
      </c>
      <c r="I194" s="2">
        <v>8290</v>
      </c>
      <c r="J194" s="2">
        <v>0</v>
      </c>
      <c r="K194" s="1">
        <v>43466</v>
      </c>
      <c r="L194" s="2">
        <f>SUM(Tabla1[[#This Row],[Serv. Culturales Derecho Hab Publ]:[Soci Comedores Pensionados Jubl]])</f>
        <v>97220</v>
      </c>
    </row>
    <row r="195" spans="1:12" x14ac:dyDescent="0.3">
      <c r="A195" s="2">
        <v>2014</v>
      </c>
      <c r="B195" t="s">
        <v>49</v>
      </c>
      <c r="C195" s="2">
        <v>41550</v>
      </c>
      <c r="D195" s="2">
        <v>40473</v>
      </c>
      <c r="E195" s="2">
        <v>0</v>
      </c>
      <c r="F195" s="2">
        <v>58</v>
      </c>
      <c r="G195" s="2">
        <v>10584</v>
      </c>
      <c r="H195" s="2">
        <v>3544</v>
      </c>
      <c r="I195" s="2">
        <v>248</v>
      </c>
      <c r="J195" s="2">
        <v>0</v>
      </c>
      <c r="K195" s="1">
        <v>41640</v>
      </c>
      <c r="L195" s="2">
        <f>SUM(Tabla1[[#This Row],[Serv. Culturales Derecho Hab Publ]:[Soci Comedores Pensionados Jubl]])</f>
        <v>96457</v>
      </c>
    </row>
    <row r="196" spans="1:12" x14ac:dyDescent="0.3">
      <c r="A196" s="2">
        <v>2023</v>
      </c>
      <c r="B196" t="s">
        <v>26</v>
      </c>
      <c r="C196" s="2">
        <v>0</v>
      </c>
      <c r="D196" s="2">
        <v>67042</v>
      </c>
      <c r="E196" s="2">
        <v>0</v>
      </c>
      <c r="F196" s="2">
        <v>0</v>
      </c>
      <c r="G196" s="2">
        <v>1789</v>
      </c>
      <c r="H196" s="2">
        <v>0</v>
      </c>
      <c r="I196" s="2">
        <v>0</v>
      </c>
      <c r="J196" s="2">
        <v>27071</v>
      </c>
      <c r="K196" s="1">
        <v>44927</v>
      </c>
      <c r="L196" s="2">
        <f>SUM(Tabla1[[#This Row],[Serv. Culturales Derecho Hab Publ]:[Soci Comedores Pensionados Jubl]])</f>
        <v>95902</v>
      </c>
    </row>
    <row r="197" spans="1:12" x14ac:dyDescent="0.3">
      <c r="A197" s="2">
        <v>2019</v>
      </c>
      <c r="B197" t="s">
        <v>16</v>
      </c>
      <c r="C197" s="2">
        <v>20761</v>
      </c>
      <c r="D197" s="2">
        <v>44029</v>
      </c>
      <c r="E197" s="2">
        <v>0</v>
      </c>
      <c r="F197" s="2">
        <v>0</v>
      </c>
      <c r="G197" s="2">
        <v>18869</v>
      </c>
      <c r="H197" s="2">
        <v>2424</v>
      </c>
      <c r="I197" s="2">
        <v>7744</v>
      </c>
      <c r="J197" s="2">
        <v>0</v>
      </c>
      <c r="K197" s="1">
        <v>43466</v>
      </c>
      <c r="L197" s="2">
        <f>SUM(Tabla1[[#This Row],[Serv. Culturales Derecho Hab Publ]:[Soci Comedores Pensionados Jubl]])</f>
        <v>93827</v>
      </c>
    </row>
    <row r="198" spans="1:12" x14ac:dyDescent="0.3">
      <c r="A198" s="2">
        <v>2016</v>
      </c>
      <c r="B198" t="s">
        <v>10</v>
      </c>
      <c r="C198" s="2">
        <v>81480</v>
      </c>
      <c r="D198" s="2">
        <v>0</v>
      </c>
      <c r="E198" s="2">
        <v>0</v>
      </c>
      <c r="F198" s="2">
        <v>0</v>
      </c>
      <c r="G198" s="2">
        <v>3264</v>
      </c>
      <c r="H198" s="2">
        <v>2247</v>
      </c>
      <c r="I198" s="2">
        <v>6013</v>
      </c>
      <c r="J198" s="2">
        <v>0</v>
      </c>
      <c r="K198" s="1">
        <v>42370</v>
      </c>
      <c r="L198" s="2">
        <f>SUM(Tabla1[[#This Row],[Serv. Culturales Derecho Hab Publ]:[Soci Comedores Pensionados Jubl]])</f>
        <v>93004</v>
      </c>
    </row>
    <row r="199" spans="1:12" x14ac:dyDescent="0.3">
      <c r="A199" s="2">
        <v>2016</v>
      </c>
      <c r="B199" t="s">
        <v>18</v>
      </c>
      <c r="C199" s="2">
        <v>75593</v>
      </c>
      <c r="D199" s="2">
        <v>0</v>
      </c>
      <c r="E199" s="2">
        <v>0</v>
      </c>
      <c r="F199" s="2">
        <v>0</v>
      </c>
      <c r="G199" s="2">
        <v>1392</v>
      </c>
      <c r="H199" s="2">
        <v>5228</v>
      </c>
      <c r="I199" s="2">
        <v>8550</v>
      </c>
      <c r="J199" s="2">
        <v>0</v>
      </c>
      <c r="K199" s="1">
        <v>42370</v>
      </c>
      <c r="L199" s="2">
        <f>SUM(Tabla1[[#This Row],[Serv. Culturales Derecho Hab Publ]:[Soci Comedores Pensionados Jubl]])</f>
        <v>90763</v>
      </c>
    </row>
    <row r="200" spans="1:12" x14ac:dyDescent="0.3">
      <c r="A200" s="2">
        <v>2014</v>
      </c>
      <c r="B200" t="s">
        <v>9</v>
      </c>
      <c r="C200" s="2">
        <v>43644</v>
      </c>
      <c r="D200" s="2">
        <v>39689</v>
      </c>
      <c r="E200" s="2">
        <v>0</v>
      </c>
      <c r="F200" s="2">
        <v>81</v>
      </c>
      <c r="G200" s="2">
        <v>1010</v>
      </c>
      <c r="H200" s="2">
        <v>2168</v>
      </c>
      <c r="I200" s="2">
        <v>3552</v>
      </c>
      <c r="J200" s="2">
        <v>0</v>
      </c>
      <c r="K200" s="1">
        <v>41640</v>
      </c>
      <c r="L200" s="2">
        <f>SUM(Tabla1[[#This Row],[Serv. Culturales Derecho Hab Publ]:[Soci Comedores Pensionados Jubl]])</f>
        <v>90144</v>
      </c>
    </row>
    <row r="201" spans="1:12" x14ac:dyDescent="0.3">
      <c r="A201" s="2">
        <v>2013</v>
      </c>
      <c r="B201" t="s">
        <v>9</v>
      </c>
      <c r="C201" s="2">
        <v>41618</v>
      </c>
      <c r="D201" s="2">
        <v>38573</v>
      </c>
      <c r="E201" s="2">
        <v>0</v>
      </c>
      <c r="F201" s="2">
        <v>72</v>
      </c>
      <c r="G201" s="2">
        <v>890</v>
      </c>
      <c r="H201" s="2">
        <v>3312</v>
      </c>
      <c r="I201" s="2">
        <v>4932</v>
      </c>
      <c r="J201" s="2">
        <v>0</v>
      </c>
      <c r="K201" s="1">
        <v>41275</v>
      </c>
      <c r="L201" s="2">
        <f>SUM(Tabla1[[#This Row],[Serv. Culturales Derecho Hab Publ]:[Soci Comedores Pensionados Jubl]])</f>
        <v>89397</v>
      </c>
    </row>
    <row r="202" spans="1:12" x14ac:dyDescent="0.3">
      <c r="A202" s="2">
        <v>2016</v>
      </c>
      <c r="B202" t="s">
        <v>19</v>
      </c>
      <c r="C202" s="2">
        <v>59027</v>
      </c>
      <c r="D202" s="2">
        <v>0</v>
      </c>
      <c r="E202" s="2">
        <v>0</v>
      </c>
      <c r="F202" s="2">
        <v>0</v>
      </c>
      <c r="G202" s="2">
        <v>8415</v>
      </c>
      <c r="H202" s="2">
        <v>8313</v>
      </c>
      <c r="I202" s="2">
        <v>13188</v>
      </c>
      <c r="J202" s="2">
        <v>0</v>
      </c>
      <c r="K202" s="1">
        <v>42370</v>
      </c>
      <c r="L202" s="2">
        <f>SUM(Tabla1[[#This Row],[Serv. Culturales Derecho Hab Publ]:[Soci Comedores Pensionados Jubl]])</f>
        <v>88943</v>
      </c>
    </row>
    <row r="203" spans="1:12" x14ac:dyDescent="0.3">
      <c r="A203" s="2">
        <v>2013</v>
      </c>
      <c r="B203" t="s">
        <v>0</v>
      </c>
      <c r="C203" s="2">
        <v>38316</v>
      </c>
      <c r="D203" s="2">
        <v>27460</v>
      </c>
      <c r="E203" s="2">
        <v>0</v>
      </c>
      <c r="F203" s="2">
        <v>195</v>
      </c>
      <c r="G203" s="2">
        <v>6844</v>
      </c>
      <c r="H203" s="2">
        <v>3793</v>
      </c>
      <c r="I203" s="2">
        <v>11569</v>
      </c>
      <c r="J203" s="2">
        <v>0</v>
      </c>
      <c r="K203" s="1">
        <v>41275</v>
      </c>
      <c r="L203" s="2">
        <f>SUM(Tabla1[[#This Row],[Serv. Culturales Derecho Hab Publ]:[Soci Comedores Pensionados Jubl]])</f>
        <v>88177</v>
      </c>
    </row>
    <row r="204" spans="1:12" x14ac:dyDescent="0.3">
      <c r="A204" s="2">
        <v>2014</v>
      </c>
      <c r="B204" t="s">
        <v>25</v>
      </c>
      <c r="C204" s="2">
        <v>0</v>
      </c>
      <c r="D204" s="2">
        <v>0</v>
      </c>
      <c r="E204" s="2">
        <v>0</v>
      </c>
      <c r="F204" s="2">
        <v>0</v>
      </c>
      <c r="G204" s="2">
        <v>5077</v>
      </c>
      <c r="H204" s="2">
        <v>0</v>
      </c>
      <c r="I204" s="2">
        <v>15756</v>
      </c>
      <c r="J204" s="2">
        <v>66937</v>
      </c>
      <c r="K204" s="1">
        <v>41640</v>
      </c>
      <c r="L204" s="2">
        <f>SUM(Tabla1[[#This Row],[Serv. Culturales Derecho Hab Publ]:[Soci Comedores Pensionados Jubl]])</f>
        <v>87770</v>
      </c>
    </row>
    <row r="205" spans="1:12" x14ac:dyDescent="0.3">
      <c r="A205" s="2">
        <v>2013</v>
      </c>
      <c r="B205" t="s">
        <v>18</v>
      </c>
      <c r="C205" s="2">
        <v>65564</v>
      </c>
      <c r="D205" s="2">
        <v>13559</v>
      </c>
      <c r="E205" s="2">
        <v>0</v>
      </c>
      <c r="F205" s="2">
        <v>37</v>
      </c>
      <c r="G205" s="2">
        <v>22</v>
      </c>
      <c r="H205" s="2">
        <v>2080</v>
      </c>
      <c r="I205" s="2">
        <v>4577</v>
      </c>
      <c r="J205" s="2">
        <v>0</v>
      </c>
      <c r="K205" s="1">
        <v>41275</v>
      </c>
      <c r="L205" s="2">
        <f>SUM(Tabla1[[#This Row],[Serv. Culturales Derecho Hab Publ]:[Soci Comedores Pensionados Jubl]])</f>
        <v>85839</v>
      </c>
    </row>
    <row r="206" spans="1:12" x14ac:dyDescent="0.3">
      <c r="A206" s="2">
        <v>2019</v>
      </c>
      <c r="B206" t="s">
        <v>9</v>
      </c>
      <c r="C206" s="2">
        <v>41697</v>
      </c>
      <c r="D206" s="2">
        <v>38767</v>
      </c>
      <c r="E206" s="2">
        <v>0</v>
      </c>
      <c r="F206" s="2">
        <v>77</v>
      </c>
      <c r="G206" s="2">
        <v>2070</v>
      </c>
      <c r="H206" s="2">
        <v>2975</v>
      </c>
      <c r="I206" s="2">
        <v>66</v>
      </c>
      <c r="J206" s="2">
        <v>0</v>
      </c>
      <c r="K206" s="1">
        <v>43466</v>
      </c>
      <c r="L206" s="2">
        <f>SUM(Tabla1[[#This Row],[Serv. Culturales Derecho Hab Publ]:[Soci Comedores Pensionados Jubl]])</f>
        <v>85652</v>
      </c>
    </row>
    <row r="207" spans="1:12" x14ac:dyDescent="0.3">
      <c r="A207" s="2">
        <v>2013</v>
      </c>
      <c r="B207" t="s">
        <v>26</v>
      </c>
      <c r="C207" s="2">
        <v>0</v>
      </c>
      <c r="D207" s="2">
        <v>0</v>
      </c>
      <c r="E207" s="2">
        <v>72610</v>
      </c>
      <c r="F207" s="2">
        <v>0</v>
      </c>
      <c r="G207" s="2">
        <v>0</v>
      </c>
      <c r="H207" s="2">
        <v>0</v>
      </c>
      <c r="I207" s="2">
        <v>0</v>
      </c>
      <c r="J207" s="2">
        <v>12735</v>
      </c>
      <c r="K207" s="1">
        <v>41275</v>
      </c>
      <c r="L207" s="2">
        <f>SUM(Tabla1[[#This Row],[Serv. Culturales Derecho Hab Publ]:[Soci Comedores Pensionados Jubl]])</f>
        <v>85345</v>
      </c>
    </row>
    <row r="208" spans="1:12" x14ac:dyDescent="0.3">
      <c r="A208" s="2">
        <v>2019</v>
      </c>
      <c r="B208" t="s">
        <v>33</v>
      </c>
      <c r="C208" s="2">
        <v>2923</v>
      </c>
      <c r="D208" s="2">
        <v>63255</v>
      </c>
      <c r="E208" s="2">
        <v>0</v>
      </c>
      <c r="F208" s="2">
        <v>7</v>
      </c>
      <c r="G208" s="2">
        <v>1779</v>
      </c>
      <c r="H208" s="2">
        <v>15535</v>
      </c>
      <c r="I208" s="2">
        <v>1620</v>
      </c>
      <c r="J208" s="2">
        <v>0</v>
      </c>
      <c r="K208" s="1">
        <v>43466</v>
      </c>
      <c r="L208" s="2">
        <f>SUM(Tabla1[[#This Row],[Serv. Culturales Derecho Hab Publ]:[Soci Comedores Pensionados Jubl]])</f>
        <v>85119</v>
      </c>
    </row>
    <row r="209" spans="1:12" x14ac:dyDescent="0.3">
      <c r="A209" s="2">
        <v>2018</v>
      </c>
      <c r="B209" t="s">
        <v>47</v>
      </c>
      <c r="C209" s="2">
        <v>50676</v>
      </c>
      <c r="D209" s="2">
        <v>17739</v>
      </c>
      <c r="E209" s="2">
        <v>0</v>
      </c>
      <c r="F209" s="2">
        <v>10</v>
      </c>
      <c r="G209" s="2">
        <v>6279</v>
      </c>
      <c r="H209" s="2">
        <v>1779</v>
      </c>
      <c r="I209" s="2">
        <v>8438</v>
      </c>
      <c r="J209" s="2">
        <v>0</v>
      </c>
      <c r="K209" s="1">
        <v>43101</v>
      </c>
      <c r="L209" s="2">
        <f>SUM(Tabla1[[#This Row],[Serv. Culturales Derecho Hab Publ]:[Soci Comedores Pensionados Jubl]])</f>
        <v>84921</v>
      </c>
    </row>
    <row r="210" spans="1:12" x14ac:dyDescent="0.3">
      <c r="A210" s="2">
        <v>2019</v>
      </c>
      <c r="B210" t="s">
        <v>49</v>
      </c>
      <c r="C210" s="2">
        <v>34865</v>
      </c>
      <c r="D210" s="2">
        <v>40744</v>
      </c>
      <c r="E210" s="2">
        <v>0</v>
      </c>
      <c r="F210" s="2">
        <v>6</v>
      </c>
      <c r="G210" s="2">
        <v>3525</v>
      </c>
      <c r="H210" s="2">
        <v>3997</v>
      </c>
      <c r="I210" s="2">
        <v>686</v>
      </c>
      <c r="J210" s="2">
        <v>0</v>
      </c>
      <c r="K210" s="1">
        <v>43466</v>
      </c>
      <c r="L210" s="2">
        <f>SUM(Tabla1[[#This Row],[Serv. Culturales Derecho Hab Publ]:[Soci Comedores Pensionados Jubl]])</f>
        <v>83823</v>
      </c>
    </row>
    <row r="211" spans="1:12" x14ac:dyDescent="0.3">
      <c r="A211" s="2">
        <v>2015</v>
      </c>
      <c r="B211" t="s">
        <v>18</v>
      </c>
      <c r="C211" s="2">
        <v>61553</v>
      </c>
      <c r="D211" s="2">
        <v>14915</v>
      </c>
      <c r="E211" s="2">
        <v>0</v>
      </c>
      <c r="F211" s="2">
        <v>1</v>
      </c>
      <c r="G211" s="2">
        <v>1349</v>
      </c>
      <c r="H211" s="2">
        <v>2233</v>
      </c>
      <c r="I211" s="2">
        <v>3144</v>
      </c>
      <c r="J211" s="2">
        <v>0</v>
      </c>
      <c r="K211" s="1">
        <v>42005</v>
      </c>
      <c r="L211" s="2">
        <f>SUM(Tabla1[[#This Row],[Serv. Culturales Derecho Hab Publ]:[Soci Comedores Pensionados Jubl]])</f>
        <v>83195</v>
      </c>
    </row>
    <row r="212" spans="1:12" x14ac:dyDescent="0.3">
      <c r="A212" s="2">
        <v>2016</v>
      </c>
      <c r="B212" t="s">
        <v>2</v>
      </c>
      <c r="C212" s="2">
        <v>66560</v>
      </c>
      <c r="D212" s="2">
        <v>0</v>
      </c>
      <c r="E212" s="2">
        <v>0</v>
      </c>
      <c r="F212" s="2">
        <v>0</v>
      </c>
      <c r="G212" s="2">
        <v>4602</v>
      </c>
      <c r="H212" s="2">
        <v>3826</v>
      </c>
      <c r="I212" s="2">
        <v>7286</v>
      </c>
      <c r="J212" s="2">
        <v>0</v>
      </c>
      <c r="K212" s="1">
        <v>42370</v>
      </c>
      <c r="L212" s="2">
        <f>SUM(Tabla1[[#This Row],[Serv. Culturales Derecho Hab Publ]:[Soci Comedores Pensionados Jubl]])</f>
        <v>82274</v>
      </c>
    </row>
    <row r="213" spans="1:12" x14ac:dyDescent="0.3">
      <c r="A213" s="2">
        <v>2018</v>
      </c>
      <c r="B213" t="s">
        <v>16</v>
      </c>
      <c r="C213" s="2">
        <v>20901</v>
      </c>
      <c r="D213" s="2">
        <v>43817</v>
      </c>
      <c r="E213" s="2">
        <v>0</v>
      </c>
      <c r="F213" s="2">
        <v>0</v>
      </c>
      <c r="G213" s="2">
        <v>11445</v>
      </c>
      <c r="H213" s="2">
        <v>2252</v>
      </c>
      <c r="I213" s="2">
        <v>3413</v>
      </c>
      <c r="J213" s="2">
        <v>0</v>
      </c>
      <c r="K213" s="1">
        <v>43101</v>
      </c>
      <c r="L213" s="2">
        <f>SUM(Tabla1[[#This Row],[Serv. Culturales Derecho Hab Publ]:[Soci Comedores Pensionados Jubl]])</f>
        <v>81828</v>
      </c>
    </row>
    <row r="214" spans="1:12" x14ac:dyDescent="0.3">
      <c r="A214" s="2">
        <v>2018</v>
      </c>
      <c r="B214" t="s">
        <v>9</v>
      </c>
      <c r="C214" s="2">
        <v>37752</v>
      </c>
      <c r="D214" s="2">
        <v>36828</v>
      </c>
      <c r="E214" s="2">
        <v>0</v>
      </c>
      <c r="F214" s="2">
        <v>86</v>
      </c>
      <c r="G214" s="2">
        <v>2340</v>
      </c>
      <c r="H214" s="2">
        <v>2170</v>
      </c>
      <c r="I214" s="2">
        <v>1813</v>
      </c>
      <c r="J214" s="2">
        <v>0</v>
      </c>
      <c r="K214" s="1">
        <v>43101</v>
      </c>
      <c r="L214" s="2">
        <f>SUM(Tabla1[[#This Row],[Serv. Culturales Derecho Hab Publ]:[Soci Comedores Pensionados Jubl]])</f>
        <v>80989</v>
      </c>
    </row>
    <row r="215" spans="1:12" x14ac:dyDescent="0.3">
      <c r="A215" s="2">
        <v>2017</v>
      </c>
      <c r="B215" t="s">
        <v>16</v>
      </c>
      <c r="C215" s="2">
        <v>35766</v>
      </c>
      <c r="D215" s="2">
        <v>40314</v>
      </c>
      <c r="E215" s="2">
        <v>0</v>
      </c>
      <c r="F215" s="2">
        <v>0</v>
      </c>
      <c r="G215" s="2">
        <v>120</v>
      </c>
      <c r="H215" s="2">
        <v>2290</v>
      </c>
      <c r="I215" s="2">
        <v>2228</v>
      </c>
      <c r="J215" s="2">
        <v>0</v>
      </c>
      <c r="K215" s="1">
        <v>42736</v>
      </c>
      <c r="L215" s="2">
        <f>SUM(Tabla1[[#This Row],[Serv. Culturales Derecho Hab Publ]:[Soci Comedores Pensionados Jubl]])</f>
        <v>80718</v>
      </c>
    </row>
    <row r="216" spans="1:12" x14ac:dyDescent="0.3">
      <c r="A216" s="2">
        <v>2013</v>
      </c>
      <c r="B216" t="s">
        <v>17</v>
      </c>
      <c r="C216" s="2">
        <v>50637</v>
      </c>
      <c r="D216" s="2">
        <v>9317</v>
      </c>
      <c r="E216" s="2">
        <v>0</v>
      </c>
      <c r="F216" s="2">
        <v>0</v>
      </c>
      <c r="G216" s="2">
        <v>4643</v>
      </c>
      <c r="H216" s="2">
        <v>1023</v>
      </c>
      <c r="I216" s="2">
        <v>14161</v>
      </c>
      <c r="J216" s="2">
        <v>0</v>
      </c>
      <c r="K216" s="1">
        <v>41275</v>
      </c>
      <c r="L216" s="2">
        <f>SUM(Tabla1[[#This Row],[Serv. Culturales Derecho Hab Publ]:[Soci Comedores Pensionados Jubl]])</f>
        <v>79781</v>
      </c>
    </row>
    <row r="217" spans="1:12" x14ac:dyDescent="0.3">
      <c r="A217" s="2">
        <v>2015</v>
      </c>
      <c r="B217" t="s">
        <v>9</v>
      </c>
      <c r="C217" s="2">
        <v>39556</v>
      </c>
      <c r="D217" s="2">
        <v>33729</v>
      </c>
      <c r="E217" s="2">
        <v>0</v>
      </c>
      <c r="F217" s="2">
        <v>55</v>
      </c>
      <c r="G217" s="2">
        <v>1400</v>
      </c>
      <c r="H217" s="2">
        <v>2644</v>
      </c>
      <c r="I217" s="2">
        <v>1212</v>
      </c>
      <c r="J217" s="2">
        <v>0</v>
      </c>
      <c r="K217" s="1">
        <v>42005</v>
      </c>
      <c r="L217" s="2">
        <f>SUM(Tabla1[[#This Row],[Serv. Culturales Derecho Hab Publ]:[Soci Comedores Pensionados Jubl]])</f>
        <v>78596</v>
      </c>
    </row>
    <row r="218" spans="1:12" x14ac:dyDescent="0.3">
      <c r="A218" s="2">
        <v>2016</v>
      </c>
      <c r="B218" t="s">
        <v>6</v>
      </c>
      <c r="C218" s="2">
        <v>55337</v>
      </c>
      <c r="D218" s="2">
        <v>0</v>
      </c>
      <c r="E218" s="2">
        <v>0</v>
      </c>
      <c r="F218" s="2">
        <v>0</v>
      </c>
      <c r="G218" s="2">
        <v>12624</v>
      </c>
      <c r="H218" s="2">
        <v>2584</v>
      </c>
      <c r="I218" s="2">
        <v>7773</v>
      </c>
      <c r="J218" s="2">
        <v>0</v>
      </c>
      <c r="K218" s="1">
        <v>42370</v>
      </c>
      <c r="L218" s="2">
        <f>SUM(Tabla1[[#This Row],[Serv. Culturales Derecho Hab Publ]:[Soci Comedores Pensionados Jubl]])</f>
        <v>78318</v>
      </c>
    </row>
    <row r="219" spans="1:12" x14ac:dyDescent="0.3">
      <c r="A219" s="2">
        <v>2013</v>
      </c>
      <c r="B219" t="s">
        <v>25</v>
      </c>
      <c r="C219" s="2">
        <v>0</v>
      </c>
      <c r="D219" s="2">
        <v>0</v>
      </c>
      <c r="E219" s="2">
        <v>0</v>
      </c>
      <c r="F219" s="2">
        <v>0</v>
      </c>
      <c r="G219" s="2">
        <v>4489</v>
      </c>
      <c r="H219" s="2">
        <v>0</v>
      </c>
      <c r="I219" s="2">
        <v>13678</v>
      </c>
      <c r="J219" s="2">
        <v>59853</v>
      </c>
      <c r="K219" s="1">
        <v>41275</v>
      </c>
      <c r="L219" s="2">
        <f>SUM(Tabla1[[#This Row],[Serv. Culturales Derecho Hab Publ]:[Soci Comedores Pensionados Jubl]])</f>
        <v>78020</v>
      </c>
    </row>
    <row r="220" spans="1:12" x14ac:dyDescent="0.3">
      <c r="A220" s="2">
        <v>2015</v>
      </c>
      <c r="B220" t="s">
        <v>17</v>
      </c>
      <c r="C220" s="2">
        <v>47451</v>
      </c>
      <c r="D220" s="2">
        <v>16979</v>
      </c>
      <c r="E220" s="2">
        <v>0</v>
      </c>
      <c r="F220" s="2">
        <v>0</v>
      </c>
      <c r="G220" s="2">
        <v>5059</v>
      </c>
      <c r="H220" s="2">
        <v>1703</v>
      </c>
      <c r="I220" s="2">
        <v>6702</v>
      </c>
      <c r="J220" s="2">
        <v>0</v>
      </c>
      <c r="K220" s="1">
        <v>42005</v>
      </c>
      <c r="L220" s="2">
        <f>SUM(Tabla1[[#This Row],[Serv. Culturales Derecho Hab Publ]:[Soci Comedores Pensionados Jubl]])</f>
        <v>77894</v>
      </c>
    </row>
    <row r="221" spans="1:12" x14ac:dyDescent="0.3">
      <c r="A221" s="2">
        <v>2016</v>
      </c>
      <c r="B221" t="s">
        <v>7</v>
      </c>
      <c r="C221" s="2">
        <v>54284</v>
      </c>
      <c r="D221" s="2">
        <v>0</v>
      </c>
      <c r="E221" s="2">
        <v>0</v>
      </c>
      <c r="F221" s="2">
        <v>0</v>
      </c>
      <c r="G221" s="2">
        <v>3800</v>
      </c>
      <c r="H221" s="2">
        <v>9180</v>
      </c>
      <c r="I221" s="2">
        <v>10206</v>
      </c>
      <c r="J221" s="2">
        <v>0</v>
      </c>
      <c r="K221" s="1">
        <v>42370</v>
      </c>
      <c r="L221" s="2">
        <f>SUM(Tabla1[[#This Row],[Serv. Culturales Derecho Hab Publ]:[Soci Comedores Pensionados Jubl]])</f>
        <v>77470</v>
      </c>
    </row>
    <row r="222" spans="1:12" x14ac:dyDescent="0.3">
      <c r="A222" s="2">
        <v>2017</v>
      </c>
      <c r="B222" t="s">
        <v>0</v>
      </c>
      <c r="C222" s="2">
        <v>25627</v>
      </c>
      <c r="D222" s="2">
        <v>28418</v>
      </c>
      <c r="E222" s="2">
        <v>0</v>
      </c>
      <c r="F222" s="2">
        <v>163</v>
      </c>
      <c r="G222" s="2">
        <v>4376</v>
      </c>
      <c r="H222" s="2">
        <v>13336</v>
      </c>
      <c r="I222" s="2">
        <v>5436</v>
      </c>
      <c r="J222" s="2">
        <v>0</v>
      </c>
      <c r="K222" s="1">
        <v>42736</v>
      </c>
      <c r="L222" s="2">
        <f>SUM(Tabla1[[#This Row],[Serv. Culturales Derecho Hab Publ]:[Soci Comedores Pensionados Jubl]])</f>
        <v>77356</v>
      </c>
    </row>
    <row r="223" spans="1:12" x14ac:dyDescent="0.3">
      <c r="A223" s="2">
        <v>2019</v>
      </c>
      <c r="B223" t="s">
        <v>31</v>
      </c>
      <c r="C223" s="2">
        <v>0</v>
      </c>
      <c r="D223" s="2">
        <v>0</v>
      </c>
      <c r="E223" s="2">
        <v>0</v>
      </c>
      <c r="F223" s="2">
        <v>0</v>
      </c>
      <c r="G223" s="2">
        <v>0</v>
      </c>
      <c r="H223" s="2">
        <v>0</v>
      </c>
      <c r="I223" s="2">
        <v>19648</v>
      </c>
      <c r="J223" s="2">
        <v>56176</v>
      </c>
      <c r="K223" s="1">
        <v>43466</v>
      </c>
      <c r="L223" s="2">
        <f>SUM(Tabla1[[#This Row],[Serv. Culturales Derecho Hab Publ]:[Soci Comedores Pensionados Jubl]])</f>
        <v>75824</v>
      </c>
    </row>
    <row r="224" spans="1:12" x14ac:dyDescent="0.3">
      <c r="A224" s="2">
        <v>2017</v>
      </c>
      <c r="B224" t="s">
        <v>9</v>
      </c>
      <c r="C224" s="2">
        <v>37993</v>
      </c>
      <c r="D224" s="2">
        <v>31886</v>
      </c>
      <c r="E224" s="2">
        <v>0</v>
      </c>
      <c r="F224" s="2">
        <v>77</v>
      </c>
      <c r="G224" s="2">
        <v>2214</v>
      </c>
      <c r="H224" s="2">
        <v>2900</v>
      </c>
      <c r="I224" s="2">
        <v>675</v>
      </c>
      <c r="J224" s="2">
        <v>0</v>
      </c>
      <c r="K224" s="1">
        <v>42736</v>
      </c>
      <c r="L224" s="2">
        <f>SUM(Tabla1[[#This Row],[Serv. Culturales Derecho Hab Publ]:[Soci Comedores Pensionados Jubl]])</f>
        <v>75745</v>
      </c>
    </row>
    <row r="225" spans="1:12" x14ac:dyDescent="0.3">
      <c r="A225" s="2">
        <v>2016</v>
      </c>
      <c r="B225" t="s">
        <v>15</v>
      </c>
      <c r="C225" s="2">
        <v>62651</v>
      </c>
      <c r="D225" s="2">
        <v>0</v>
      </c>
      <c r="E225" s="2">
        <v>0</v>
      </c>
      <c r="F225" s="2">
        <v>0</v>
      </c>
      <c r="G225" s="2">
        <v>4984</v>
      </c>
      <c r="H225" s="2">
        <v>1020</v>
      </c>
      <c r="I225" s="2">
        <v>6710</v>
      </c>
      <c r="J225" s="2">
        <v>0</v>
      </c>
      <c r="K225" s="1">
        <v>42370</v>
      </c>
      <c r="L225" s="2">
        <f>SUM(Tabla1[[#This Row],[Serv. Culturales Derecho Hab Publ]:[Soci Comedores Pensionados Jubl]])</f>
        <v>75365</v>
      </c>
    </row>
    <row r="226" spans="1:12" x14ac:dyDescent="0.3">
      <c r="A226" s="2">
        <v>2015</v>
      </c>
      <c r="B226" t="s">
        <v>0</v>
      </c>
      <c r="C226" s="2">
        <v>39725</v>
      </c>
      <c r="D226" s="2">
        <v>24096</v>
      </c>
      <c r="E226" s="2">
        <v>0</v>
      </c>
      <c r="F226" s="2">
        <v>30</v>
      </c>
      <c r="G226" s="2">
        <v>462</v>
      </c>
      <c r="H226" s="2">
        <v>3748</v>
      </c>
      <c r="I226" s="2">
        <v>7016</v>
      </c>
      <c r="J226" s="2">
        <v>0</v>
      </c>
      <c r="K226" s="1">
        <v>42005</v>
      </c>
      <c r="L226" s="2">
        <f>SUM(Tabla1[[#This Row],[Serv. Culturales Derecho Hab Publ]:[Soci Comedores Pensionados Jubl]])</f>
        <v>75077</v>
      </c>
    </row>
    <row r="227" spans="1:12" x14ac:dyDescent="0.3">
      <c r="A227" s="2">
        <v>2013</v>
      </c>
      <c r="B227" t="s">
        <v>15</v>
      </c>
      <c r="C227" s="2">
        <v>12395</v>
      </c>
      <c r="D227" s="2">
        <v>42828</v>
      </c>
      <c r="E227" s="2">
        <v>0</v>
      </c>
      <c r="F227" s="2">
        <v>539</v>
      </c>
      <c r="G227" s="2">
        <v>5036</v>
      </c>
      <c r="H227" s="2">
        <v>1890</v>
      </c>
      <c r="I227" s="2">
        <v>11083</v>
      </c>
      <c r="J227" s="2">
        <v>0</v>
      </c>
      <c r="K227" s="1">
        <v>41275</v>
      </c>
      <c r="L227" s="2">
        <f>SUM(Tabla1[[#This Row],[Serv. Culturales Derecho Hab Publ]:[Soci Comedores Pensionados Jubl]])</f>
        <v>73771</v>
      </c>
    </row>
    <row r="228" spans="1:12" x14ac:dyDescent="0.3">
      <c r="A228" s="2">
        <v>2016</v>
      </c>
      <c r="B228" t="s">
        <v>26</v>
      </c>
      <c r="C228" s="2">
        <v>0</v>
      </c>
      <c r="D228" s="2">
        <v>0</v>
      </c>
      <c r="E228" s="2">
        <v>0</v>
      </c>
      <c r="F228" s="2">
        <v>73308</v>
      </c>
      <c r="G228" s="2">
        <v>0</v>
      </c>
      <c r="H228" s="2">
        <v>0</v>
      </c>
      <c r="I228" s="2">
        <v>0</v>
      </c>
      <c r="J228" s="2">
        <v>0</v>
      </c>
      <c r="K228" s="1">
        <v>42370</v>
      </c>
      <c r="L228" s="2">
        <f>SUM(Tabla1[[#This Row],[Serv. Culturales Derecho Hab Publ]:[Soci Comedores Pensionados Jubl]])</f>
        <v>73308</v>
      </c>
    </row>
    <row r="229" spans="1:12" x14ac:dyDescent="0.3">
      <c r="A229" s="2">
        <v>2019</v>
      </c>
      <c r="B229" t="s">
        <v>21</v>
      </c>
      <c r="C229" s="2">
        <v>35401</v>
      </c>
      <c r="D229" s="2">
        <v>25473</v>
      </c>
      <c r="E229" s="2">
        <v>0</v>
      </c>
      <c r="F229" s="2">
        <v>114</v>
      </c>
      <c r="G229" s="2">
        <v>1328</v>
      </c>
      <c r="H229" s="2">
        <v>3165</v>
      </c>
      <c r="I229" s="2">
        <v>6599</v>
      </c>
      <c r="J229" s="2">
        <v>0</v>
      </c>
      <c r="K229" s="1">
        <v>43466</v>
      </c>
      <c r="L229" s="2">
        <f>SUM(Tabla1[[#This Row],[Serv. Culturales Derecho Hab Publ]:[Soci Comedores Pensionados Jubl]])</f>
        <v>72080</v>
      </c>
    </row>
    <row r="230" spans="1:12" x14ac:dyDescent="0.3">
      <c r="A230" s="2">
        <v>2016</v>
      </c>
      <c r="B230" t="s">
        <v>32</v>
      </c>
      <c r="C230" s="2">
        <v>60463</v>
      </c>
      <c r="D230" s="2">
        <v>0</v>
      </c>
      <c r="E230" s="2">
        <v>0</v>
      </c>
      <c r="F230" s="2">
        <v>0</v>
      </c>
      <c r="G230" s="2">
        <v>2478</v>
      </c>
      <c r="H230" s="2">
        <v>1778</v>
      </c>
      <c r="I230" s="2">
        <v>6139</v>
      </c>
      <c r="J230" s="2">
        <v>0</v>
      </c>
      <c r="K230" s="1">
        <v>42370</v>
      </c>
      <c r="L230" s="2">
        <f>SUM(Tabla1[[#This Row],[Serv. Culturales Derecho Hab Publ]:[Soci Comedores Pensionados Jubl]])</f>
        <v>70858</v>
      </c>
    </row>
    <row r="231" spans="1:12" x14ac:dyDescent="0.3">
      <c r="A231" s="2">
        <v>2014</v>
      </c>
      <c r="B231" t="s">
        <v>33</v>
      </c>
      <c r="C231" s="2">
        <v>29076</v>
      </c>
      <c r="D231" s="2">
        <v>33897</v>
      </c>
      <c r="E231" s="2">
        <v>0</v>
      </c>
      <c r="F231" s="2">
        <v>36</v>
      </c>
      <c r="G231" s="2">
        <v>1682</v>
      </c>
      <c r="H231" s="2">
        <v>3826</v>
      </c>
      <c r="I231" s="2">
        <v>1096</v>
      </c>
      <c r="J231" s="2">
        <v>0</v>
      </c>
      <c r="K231" s="1">
        <v>41640</v>
      </c>
      <c r="L231" s="2">
        <f>SUM(Tabla1[[#This Row],[Serv. Culturales Derecho Hab Publ]:[Soci Comedores Pensionados Jubl]])</f>
        <v>69613</v>
      </c>
    </row>
    <row r="232" spans="1:12" x14ac:dyDescent="0.3">
      <c r="A232" s="2">
        <v>2015</v>
      </c>
      <c r="B232" t="s">
        <v>5</v>
      </c>
      <c r="C232" s="2">
        <v>36710</v>
      </c>
      <c r="D232" s="2">
        <v>22440</v>
      </c>
      <c r="E232" s="2">
        <v>0</v>
      </c>
      <c r="F232" s="2">
        <v>0</v>
      </c>
      <c r="G232" s="2">
        <v>711</v>
      </c>
      <c r="H232" s="2">
        <v>6508</v>
      </c>
      <c r="I232" s="2">
        <v>2691</v>
      </c>
      <c r="J232" s="2">
        <v>0</v>
      </c>
      <c r="K232" s="1">
        <v>42005</v>
      </c>
      <c r="L232" s="2">
        <f>SUM(Tabla1[[#This Row],[Serv. Culturales Derecho Hab Publ]:[Soci Comedores Pensionados Jubl]])</f>
        <v>69060</v>
      </c>
    </row>
    <row r="233" spans="1:12" x14ac:dyDescent="0.3">
      <c r="A233" s="2">
        <v>2015</v>
      </c>
      <c r="B233" t="s">
        <v>25</v>
      </c>
      <c r="C233" s="2">
        <v>0</v>
      </c>
      <c r="D233" s="2">
        <v>0</v>
      </c>
      <c r="E233" s="2">
        <v>0</v>
      </c>
      <c r="F233" s="2">
        <v>0</v>
      </c>
      <c r="G233" s="2">
        <v>5012</v>
      </c>
      <c r="H233" s="2">
        <v>0</v>
      </c>
      <c r="I233" s="2">
        <v>0</v>
      </c>
      <c r="J233" s="2">
        <v>63767</v>
      </c>
      <c r="K233" s="1">
        <v>42005</v>
      </c>
      <c r="L233" s="2">
        <f>SUM(Tabla1[[#This Row],[Serv. Culturales Derecho Hab Publ]:[Soci Comedores Pensionados Jubl]])</f>
        <v>68779</v>
      </c>
    </row>
    <row r="234" spans="1:12" x14ac:dyDescent="0.3">
      <c r="A234" s="2">
        <v>2020</v>
      </c>
      <c r="B234" t="s">
        <v>53</v>
      </c>
      <c r="C234" s="2">
        <v>11157</v>
      </c>
      <c r="D234" s="2">
        <v>44236</v>
      </c>
      <c r="E234" s="2">
        <v>0</v>
      </c>
      <c r="F234" s="2">
        <v>8813</v>
      </c>
      <c r="G234" s="2">
        <v>490</v>
      </c>
      <c r="H234" s="2">
        <v>2259</v>
      </c>
      <c r="I234" s="2">
        <v>1517</v>
      </c>
      <c r="J234" s="2">
        <v>0</v>
      </c>
      <c r="K234" s="1">
        <v>43831</v>
      </c>
      <c r="L234" s="2">
        <f>SUM(Tabla1[[#This Row],[Serv. Culturales Derecho Hab Publ]:[Soci Comedores Pensionados Jubl]])</f>
        <v>68472</v>
      </c>
    </row>
    <row r="235" spans="1:12" x14ac:dyDescent="0.3">
      <c r="A235" s="2">
        <v>2013</v>
      </c>
      <c r="B235" t="s">
        <v>47</v>
      </c>
      <c r="C235" s="2">
        <v>19086</v>
      </c>
      <c r="D235" s="2">
        <v>28705</v>
      </c>
      <c r="E235" s="2">
        <v>0</v>
      </c>
      <c r="F235" s="2">
        <v>229</v>
      </c>
      <c r="G235" s="2">
        <v>11981</v>
      </c>
      <c r="H235" s="2">
        <v>2440</v>
      </c>
      <c r="I235" s="2">
        <v>5494</v>
      </c>
      <c r="J235" s="2">
        <v>0</v>
      </c>
      <c r="K235" s="1">
        <v>41275</v>
      </c>
      <c r="L235" s="2">
        <f>SUM(Tabla1[[#This Row],[Serv. Culturales Derecho Hab Publ]:[Soci Comedores Pensionados Jubl]])</f>
        <v>67935</v>
      </c>
    </row>
    <row r="236" spans="1:12" x14ac:dyDescent="0.3">
      <c r="A236" s="2">
        <v>2015</v>
      </c>
      <c r="B236" t="s">
        <v>20</v>
      </c>
      <c r="C236" s="2">
        <v>32266</v>
      </c>
      <c r="D236" s="2">
        <v>30392</v>
      </c>
      <c r="E236" s="2">
        <v>0</v>
      </c>
      <c r="F236" s="2">
        <v>13</v>
      </c>
      <c r="G236" s="2">
        <v>753</v>
      </c>
      <c r="H236" s="2">
        <v>1920</v>
      </c>
      <c r="I236" s="2">
        <v>2530</v>
      </c>
      <c r="J236" s="2">
        <v>0</v>
      </c>
      <c r="K236" s="1">
        <v>42005</v>
      </c>
      <c r="L236" s="2">
        <f>SUM(Tabla1[[#This Row],[Serv. Culturales Derecho Hab Publ]:[Soci Comedores Pensionados Jubl]])</f>
        <v>67874</v>
      </c>
    </row>
    <row r="237" spans="1:12" x14ac:dyDescent="0.3">
      <c r="A237" s="2">
        <v>2020</v>
      </c>
      <c r="B237" t="s">
        <v>2</v>
      </c>
      <c r="C237" s="2">
        <v>23409</v>
      </c>
      <c r="D237" s="2">
        <v>35752</v>
      </c>
      <c r="E237" s="2">
        <v>0</v>
      </c>
      <c r="F237" s="2">
        <v>12</v>
      </c>
      <c r="G237" s="2">
        <v>3286</v>
      </c>
      <c r="H237" s="2">
        <v>1405</v>
      </c>
      <c r="I237" s="2">
        <v>1924</v>
      </c>
      <c r="J237" s="2">
        <v>0</v>
      </c>
      <c r="K237" s="1">
        <v>43831</v>
      </c>
      <c r="L237" s="2">
        <f>SUM(Tabla1[[#This Row],[Serv. Culturales Derecho Hab Publ]:[Soci Comedores Pensionados Jubl]])</f>
        <v>65788</v>
      </c>
    </row>
    <row r="238" spans="1:12" x14ac:dyDescent="0.3">
      <c r="A238" s="2">
        <v>2015</v>
      </c>
      <c r="B238" t="s">
        <v>33</v>
      </c>
      <c r="C238" s="2">
        <v>25967</v>
      </c>
      <c r="D238" s="2">
        <v>32707</v>
      </c>
      <c r="E238" s="2">
        <v>0</v>
      </c>
      <c r="F238" s="2">
        <v>10</v>
      </c>
      <c r="G238" s="2">
        <v>1700</v>
      </c>
      <c r="H238" s="2">
        <v>2856</v>
      </c>
      <c r="I238" s="2">
        <v>2351</v>
      </c>
      <c r="J238" s="2">
        <v>0</v>
      </c>
      <c r="K238" s="1">
        <v>42005</v>
      </c>
      <c r="L238" s="2">
        <f>SUM(Tabla1[[#This Row],[Serv. Culturales Derecho Hab Publ]:[Soci Comedores Pensionados Jubl]])</f>
        <v>65591</v>
      </c>
    </row>
    <row r="239" spans="1:12" x14ac:dyDescent="0.3">
      <c r="A239" s="2">
        <v>2017</v>
      </c>
      <c r="B239" t="s">
        <v>31</v>
      </c>
      <c r="C239" s="2">
        <v>0</v>
      </c>
      <c r="D239" s="2">
        <v>0</v>
      </c>
      <c r="E239" s="2">
        <v>0</v>
      </c>
      <c r="F239" s="2">
        <v>0</v>
      </c>
      <c r="G239" s="2">
        <v>3558</v>
      </c>
      <c r="H239" s="2">
        <v>0</v>
      </c>
      <c r="I239" s="2">
        <v>0</v>
      </c>
      <c r="J239" s="2">
        <v>61754</v>
      </c>
      <c r="K239" s="1">
        <v>42736</v>
      </c>
      <c r="L239" s="2">
        <f>SUM(Tabla1[[#This Row],[Serv. Culturales Derecho Hab Publ]:[Soci Comedores Pensionados Jubl]])</f>
        <v>65312</v>
      </c>
    </row>
    <row r="240" spans="1:12" x14ac:dyDescent="0.3">
      <c r="A240" s="2">
        <v>2016</v>
      </c>
      <c r="B240" t="s">
        <v>13</v>
      </c>
      <c r="C240" s="2">
        <v>54231</v>
      </c>
      <c r="D240" s="2">
        <v>0</v>
      </c>
      <c r="E240" s="2">
        <v>0</v>
      </c>
      <c r="F240" s="2">
        <v>0</v>
      </c>
      <c r="G240" s="2">
        <v>3316</v>
      </c>
      <c r="H240" s="2">
        <v>2494</v>
      </c>
      <c r="I240" s="2">
        <v>5175</v>
      </c>
      <c r="J240" s="2">
        <v>0</v>
      </c>
      <c r="K240" s="1">
        <v>42370</v>
      </c>
      <c r="L240" s="2">
        <f>SUM(Tabla1[[#This Row],[Serv. Culturales Derecho Hab Publ]:[Soci Comedores Pensionados Jubl]])</f>
        <v>65216</v>
      </c>
    </row>
    <row r="241" spans="1:12" x14ac:dyDescent="0.3">
      <c r="A241" s="2">
        <v>2017</v>
      </c>
      <c r="B241" t="s">
        <v>33</v>
      </c>
      <c r="C241" s="2">
        <v>17482</v>
      </c>
      <c r="D241" s="2">
        <v>38154</v>
      </c>
      <c r="E241" s="2">
        <v>0</v>
      </c>
      <c r="F241" s="2">
        <v>8</v>
      </c>
      <c r="G241" s="2">
        <v>1617</v>
      </c>
      <c r="H241" s="2">
        <v>3696</v>
      </c>
      <c r="I241" s="2">
        <v>2710</v>
      </c>
      <c r="J241" s="2">
        <v>0</v>
      </c>
      <c r="K241" s="1">
        <v>42736</v>
      </c>
      <c r="L241" s="2">
        <f>SUM(Tabla1[[#This Row],[Serv. Culturales Derecho Hab Publ]:[Soci Comedores Pensionados Jubl]])</f>
        <v>63667</v>
      </c>
    </row>
    <row r="242" spans="1:12" x14ac:dyDescent="0.3">
      <c r="A242" s="2">
        <v>2022</v>
      </c>
      <c r="B242" t="s">
        <v>26</v>
      </c>
      <c r="C242" s="2">
        <v>0</v>
      </c>
      <c r="D242" s="2">
        <v>0</v>
      </c>
      <c r="E242" s="2">
        <v>51801</v>
      </c>
      <c r="F242" s="2">
        <v>0</v>
      </c>
      <c r="G242" s="2">
        <v>861</v>
      </c>
      <c r="H242" s="2">
        <v>0</v>
      </c>
      <c r="I242" s="2">
        <v>0</v>
      </c>
      <c r="J242" s="2">
        <v>10916</v>
      </c>
      <c r="K242" s="1">
        <v>44562</v>
      </c>
      <c r="L242" s="2">
        <f>SUM(Tabla1[[#This Row],[Serv. Culturales Derecho Hab Publ]:[Soci Comedores Pensionados Jubl]])</f>
        <v>63578</v>
      </c>
    </row>
    <row r="243" spans="1:12" x14ac:dyDescent="0.3">
      <c r="A243" s="2">
        <v>2014</v>
      </c>
      <c r="B243" t="s">
        <v>0</v>
      </c>
      <c r="C243" s="2">
        <v>28882</v>
      </c>
      <c r="D243" s="2">
        <v>24276</v>
      </c>
      <c r="E243" s="2">
        <v>0</v>
      </c>
      <c r="F243" s="2">
        <v>98</v>
      </c>
      <c r="G243" s="2">
        <v>3303</v>
      </c>
      <c r="H243" s="2">
        <v>4844</v>
      </c>
      <c r="I243" s="2">
        <v>1740</v>
      </c>
      <c r="J243" s="2">
        <v>0</v>
      </c>
      <c r="K243" s="1">
        <v>41640</v>
      </c>
      <c r="L243" s="2">
        <f>SUM(Tabla1[[#This Row],[Serv. Culturales Derecho Hab Publ]:[Soci Comedores Pensionados Jubl]])</f>
        <v>63143</v>
      </c>
    </row>
    <row r="244" spans="1:12" x14ac:dyDescent="0.3">
      <c r="A244" s="2">
        <v>2020</v>
      </c>
      <c r="B244" t="s">
        <v>50</v>
      </c>
      <c r="C244" s="2">
        <v>9400</v>
      </c>
      <c r="D244" s="2">
        <v>38034</v>
      </c>
      <c r="E244" s="2">
        <v>0</v>
      </c>
      <c r="F244" s="2">
        <v>223</v>
      </c>
      <c r="G244" s="2">
        <v>4014</v>
      </c>
      <c r="H244" s="2">
        <v>9386</v>
      </c>
      <c r="I244" s="2">
        <v>2064</v>
      </c>
      <c r="J244" s="2">
        <v>0</v>
      </c>
      <c r="K244" s="1">
        <v>43831</v>
      </c>
      <c r="L244" s="2">
        <f>SUM(Tabla1[[#This Row],[Serv. Culturales Derecho Hab Publ]:[Soci Comedores Pensionados Jubl]])</f>
        <v>63121</v>
      </c>
    </row>
    <row r="245" spans="1:12" x14ac:dyDescent="0.3">
      <c r="A245" s="2">
        <v>2016</v>
      </c>
      <c r="B245" t="s">
        <v>49</v>
      </c>
      <c r="C245" s="2">
        <v>39760</v>
      </c>
      <c r="D245" s="2">
        <v>0</v>
      </c>
      <c r="E245" s="2">
        <v>0</v>
      </c>
      <c r="F245" s="2">
        <v>0</v>
      </c>
      <c r="G245" s="2">
        <v>7915</v>
      </c>
      <c r="H245" s="2">
        <v>2978</v>
      </c>
      <c r="I245" s="2">
        <v>12309</v>
      </c>
      <c r="J245" s="2">
        <v>0</v>
      </c>
      <c r="K245" s="1">
        <v>42370</v>
      </c>
      <c r="L245" s="2">
        <f>SUM(Tabla1[[#This Row],[Serv. Culturales Derecho Hab Publ]:[Soci Comedores Pensionados Jubl]])</f>
        <v>62962</v>
      </c>
    </row>
    <row r="246" spans="1:12" x14ac:dyDescent="0.3">
      <c r="A246" s="2">
        <v>2016</v>
      </c>
      <c r="B246" t="s">
        <v>5</v>
      </c>
      <c r="C246" s="2">
        <v>42348</v>
      </c>
      <c r="D246" s="2">
        <v>0</v>
      </c>
      <c r="E246" s="2">
        <v>0</v>
      </c>
      <c r="F246" s="2">
        <v>0</v>
      </c>
      <c r="G246" s="2">
        <v>3564</v>
      </c>
      <c r="H246" s="2">
        <v>5245</v>
      </c>
      <c r="I246" s="2">
        <v>9711</v>
      </c>
      <c r="J246" s="2">
        <v>0</v>
      </c>
      <c r="K246" s="1">
        <v>42370</v>
      </c>
      <c r="L246" s="2">
        <f>SUM(Tabla1[[#This Row],[Serv. Culturales Derecho Hab Publ]:[Soci Comedores Pensionados Jubl]])</f>
        <v>60868</v>
      </c>
    </row>
    <row r="247" spans="1:12" x14ac:dyDescent="0.3">
      <c r="A247" s="2">
        <v>2014</v>
      </c>
      <c r="B247" t="s">
        <v>16</v>
      </c>
      <c r="C247" s="2">
        <v>11174</v>
      </c>
      <c r="D247" s="2">
        <v>46109</v>
      </c>
      <c r="E247" s="2">
        <v>0</v>
      </c>
      <c r="F247" s="2">
        <v>0</v>
      </c>
      <c r="G247" s="2">
        <v>620</v>
      </c>
      <c r="H247" s="2">
        <v>2251</v>
      </c>
      <c r="I247" s="2">
        <v>227</v>
      </c>
      <c r="J247" s="2">
        <v>0</v>
      </c>
      <c r="K247" s="1">
        <v>41640</v>
      </c>
      <c r="L247" s="2">
        <f>SUM(Tabla1[[#This Row],[Serv. Culturales Derecho Hab Publ]:[Soci Comedores Pensionados Jubl]])</f>
        <v>60381</v>
      </c>
    </row>
    <row r="248" spans="1:12" x14ac:dyDescent="0.3">
      <c r="A248" s="2">
        <v>2016</v>
      </c>
      <c r="B248" t="s">
        <v>4</v>
      </c>
      <c r="C248" s="2">
        <v>47575</v>
      </c>
      <c r="D248" s="2">
        <v>0</v>
      </c>
      <c r="E248" s="2">
        <v>0</v>
      </c>
      <c r="F248" s="2">
        <v>0</v>
      </c>
      <c r="G248" s="2">
        <v>4738</v>
      </c>
      <c r="H248" s="2">
        <v>975</v>
      </c>
      <c r="I248" s="2">
        <v>6745</v>
      </c>
      <c r="J248" s="2">
        <v>0</v>
      </c>
      <c r="K248" s="1">
        <v>42370</v>
      </c>
      <c r="L248" s="2">
        <f>SUM(Tabla1[[#This Row],[Serv. Culturales Derecho Hab Publ]:[Soci Comedores Pensionados Jubl]])</f>
        <v>60033</v>
      </c>
    </row>
    <row r="249" spans="1:12" x14ac:dyDescent="0.3">
      <c r="A249" s="2">
        <v>2013</v>
      </c>
      <c r="B249" t="s">
        <v>33</v>
      </c>
      <c r="C249" s="2">
        <v>22917</v>
      </c>
      <c r="D249" s="2">
        <v>27582</v>
      </c>
      <c r="E249" s="2">
        <v>0</v>
      </c>
      <c r="F249" s="2">
        <v>34</v>
      </c>
      <c r="G249" s="2">
        <v>2833</v>
      </c>
      <c r="H249" s="2">
        <v>2489</v>
      </c>
      <c r="I249" s="2">
        <v>3754</v>
      </c>
      <c r="J249" s="2">
        <v>0</v>
      </c>
      <c r="K249" s="1">
        <v>41275</v>
      </c>
      <c r="L249" s="2">
        <f>SUM(Tabla1[[#This Row],[Serv. Culturales Derecho Hab Publ]:[Soci Comedores Pensionados Jubl]])</f>
        <v>59609</v>
      </c>
    </row>
    <row r="250" spans="1:12" x14ac:dyDescent="0.3">
      <c r="A250" s="2">
        <v>2024</v>
      </c>
      <c r="B250" t="s">
        <v>26</v>
      </c>
      <c r="C250" s="2">
        <v>0</v>
      </c>
      <c r="D250" s="2">
        <v>0</v>
      </c>
      <c r="E250" s="2">
        <v>58343</v>
      </c>
      <c r="F250" s="2">
        <v>0</v>
      </c>
      <c r="G250" s="2">
        <v>1000</v>
      </c>
      <c r="H250" s="2">
        <v>0</v>
      </c>
      <c r="I250" s="2">
        <v>0</v>
      </c>
      <c r="J250" s="2">
        <v>0</v>
      </c>
      <c r="K250" s="1">
        <v>45292</v>
      </c>
      <c r="L250" s="2">
        <f>SUM(Tabla1[[#This Row],[Serv. Culturales Derecho Hab Publ]:[Soci Comedores Pensionados Jubl]])</f>
        <v>59343</v>
      </c>
    </row>
    <row r="251" spans="1:12" x14ac:dyDescent="0.3">
      <c r="A251" s="2">
        <v>2020</v>
      </c>
      <c r="B251" t="s">
        <v>46</v>
      </c>
      <c r="C251" s="2">
        <v>17835</v>
      </c>
      <c r="D251" s="2">
        <v>26203</v>
      </c>
      <c r="E251" s="2">
        <v>0</v>
      </c>
      <c r="F251" s="2">
        <v>6927</v>
      </c>
      <c r="G251" s="2">
        <v>870</v>
      </c>
      <c r="H251" s="2">
        <v>4580</v>
      </c>
      <c r="I251" s="2">
        <v>2281</v>
      </c>
      <c r="J251" s="2">
        <v>0</v>
      </c>
      <c r="K251" s="1">
        <v>43831</v>
      </c>
      <c r="L251" s="2">
        <f>SUM(Tabla1[[#This Row],[Serv. Culturales Derecho Hab Publ]:[Soci Comedores Pensionados Jubl]])</f>
        <v>58696</v>
      </c>
    </row>
    <row r="252" spans="1:12" x14ac:dyDescent="0.3">
      <c r="A252" s="2">
        <v>2018</v>
      </c>
      <c r="B252" t="s">
        <v>31</v>
      </c>
      <c r="C252" s="2">
        <v>0</v>
      </c>
      <c r="D252" s="2">
        <v>0</v>
      </c>
      <c r="E252" s="2">
        <v>0</v>
      </c>
      <c r="F252" s="2">
        <v>0</v>
      </c>
      <c r="G252" s="2">
        <v>4142</v>
      </c>
      <c r="H252" s="2">
        <v>0</v>
      </c>
      <c r="I252" s="2">
        <v>0</v>
      </c>
      <c r="J252" s="2">
        <v>54128</v>
      </c>
      <c r="K252" s="1">
        <v>43101</v>
      </c>
      <c r="L252" s="2">
        <f>SUM(Tabla1[[#This Row],[Serv. Culturales Derecho Hab Publ]:[Soci Comedores Pensionados Jubl]])</f>
        <v>58270</v>
      </c>
    </row>
    <row r="253" spans="1:12" x14ac:dyDescent="0.3">
      <c r="A253" s="2">
        <v>2016</v>
      </c>
      <c r="B253" t="s">
        <v>22</v>
      </c>
      <c r="C253" s="2">
        <v>50857</v>
      </c>
      <c r="D253" s="2">
        <v>0</v>
      </c>
      <c r="E253" s="2">
        <v>0</v>
      </c>
      <c r="F253" s="2">
        <v>0</v>
      </c>
      <c r="G253" s="2">
        <v>1468</v>
      </c>
      <c r="H253" s="2">
        <v>4977</v>
      </c>
      <c r="I253" s="2">
        <v>753</v>
      </c>
      <c r="J253" s="2">
        <v>0</v>
      </c>
      <c r="K253" s="1">
        <v>42370</v>
      </c>
      <c r="L253" s="2">
        <f>SUM(Tabla1[[#This Row],[Serv. Culturales Derecho Hab Publ]:[Soci Comedores Pensionados Jubl]])</f>
        <v>58055</v>
      </c>
    </row>
    <row r="254" spans="1:12" x14ac:dyDescent="0.3">
      <c r="A254" s="2">
        <v>2018</v>
      </c>
      <c r="B254" t="s">
        <v>33</v>
      </c>
      <c r="C254" s="2">
        <v>13774</v>
      </c>
      <c r="D254" s="2">
        <v>36099</v>
      </c>
      <c r="E254" s="2">
        <v>0</v>
      </c>
      <c r="F254" s="2">
        <v>19</v>
      </c>
      <c r="G254" s="2">
        <v>836</v>
      </c>
      <c r="H254" s="2">
        <v>3580</v>
      </c>
      <c r="I254" s="2">
        <v>3467</v>
      </c>
      <c r="J254" s="2">
        <v>0</v>
      </c>
      <c r="K254" s="1">
        <v>43101</v>
      </c>
      <c r="L254" s="2">
        <f>SUM(Tabla1[[#This Row],[Serv. Culturales Derecho Hab Publ]:[Soci Comedores Pensionados Jubl]])</f>
        <v>57775</v>
      </c>
    </row>
    <row r="255" spans="1:12" x14ac:dyDescent="0.3">
      <c r="A255" s="2">
        <v>2019</v>
      </c>
      <c r="B255" t="s">
        <v>20</v>
      </c>
      <c r="C255" s="2">
        <v>24855</v>
      </c>
      <c r="D255" s="2">
        <v>26748</v>
      </c>
      <c r="E255" s="2">
        <v>0</v>
      </c>
      <c r="F255" s="2">
        <v>6</v>
      </c>
      <c r="G255" s="2">
        <v>2336</v>
      </c>
      <c r="H255" s="2">
        <v>1920</v>
      </c>
      <c r="I255" s="2">
        <v>1905</v>
      </c>
      <c r="J255" s="2">
        <v>0</v>
      </c>
      <c r="K255" s="1">
        <v>43466</v>
      </c>
      <c r="L255" s="2">
        <f>SUM(Tabla1[[#This Row],[Serv. Culturales Derecho Hab Publ]:[Soci Comedores Pensionados Jubl]])</f>
        <v>57770</v>
      </c>
    </row>
    <row r="256" spans="1:12" x14ac:dyDescent="0.3">
      <c r="A256" s="2">
        <v>2016</v>
      </c>
      <c r="B256" t="s">
        <v>17</v>
      </c>
      <c r="C256" s="2">
        <v>46584</v>
      </c>
      <c r="D256" s="2">
        <v>0</v>
      </c>
      <c r="E256" s="2">
        <v>0</v>
      </c>
      <c r="F256" s="2">
        <v>0</v>
      </c>
      <c r="G256" s="2">
        <v>3872</v>
      </c>
      <c r="H256" s="2">
        <v>1128</v>
      </c>
      <c r="I256" s="2">
        <v>5889</v>
      </c>
      <c r="J256" s="2">
        <v>0</v>
      </c>
      <c r="K256" s="1">
        <v>42370</v>
      </c>
      <c r="L256" s="2">
        <f>SUM(Tabla1[[#This Row],[Serv. Culturales Derecho Hab Publ]:[Soci Comedores Pensionados Jubl]])</f>
        <v>57473</v>
      </c>
    </row>
    <row r="257" spans="1:12" x14ac:dyDescent="0.3">
      <c r="A257" s="2">
        <v>2016</v>
      </c>
      <c r="B257" t="s">
        <v>8</v>
      </c>
      <c r="C257" s="2">
        <v>39484</v>
      </c>
      <c r="D257" s="2">
        <v>0</v>
      </c>
      <c r="E257" s="2">
        <v>0</v>
      </c>
      <c r="F257" s="2">
        <v>0</v>
      </c>
      <c r="G257" s="2">
        <v>9034</v>
      </c>
      <c r="H257" s="2">
        <v>1823</v>
      </c>
      <c r="I257" s="2">
        <v>6608</v>
      </c>
      <c r="J257" s="2">
        <v>0</v>
      </c>
      <c r="K257" s="1">
        <v>42370</v>
      </c>
      <c r="L257" s="2">
        <f>SUM(Tabla1[[#This Row],[Serv. Culturales Derecho Hab Publ]:[Soci Comedores Pensionados Jubl]])</f>
        <v>56949</v>
      </c>
    </row>
    <row r="258" spans="1:12" x14ac:dyDescent="0.3">
      <c r="A258" s="2">
        <v>2023</v>
      </c>
      <c r="B258" t="s">
        <v>31</v>
      </c>
      <c r="C258" s="2">
        <v>0</v>
      </c>
      <c r="D258" s="2">
        <v>0</v>
      </c>
      <c r="E258" s="2">
        <v>0</v>
      </c>
      <c r="F258" s="2">
        <v>0</v>
      </c>
      <c r="G258" s="2">
        <v>3858</v>
      </c>
      <c r="H258" s="2">
        <v>0</v>
      </c>
      <c r="I258" s="2">
        <v>0</v>
      </c>
      <c r="J258" s="2">
        <v>53086</v>
      </c>
      <c r="K258" s="1">
        <v>44927</v>
      </c>
      <c r="L258" s="2">
        <f>SUM(Tabla1[[#This Row],[Serv. Culturales Derecho Hab Publ]:[Soci Comedores Pensionados Jubl]])</f>
        <v>56944</v>
      </c>
    </row>
    <row r="259" spans="1:12" x14ac:dyDescent="0.3">
      <c r="A259" s="2">
        <v>2020</v>
      </c>
      <c r="B259" t="s">
        <v>52</v>
      </c>
      <c r="C259" s="2">
        <v>16253</v>
      </c>
      <c r="D259" s="2">
        <v>28827</v>
      </c>
      <c r="E259" s="2">
        <v>0</v>
      </c>
      <c r="F259" s="2">
        <v>3725</v>
      </c>
      <c r="G259" s="2">
        <v>1457</v>
      </c>
      <c r="H259" s="2">
        <v>6078</v>
      </c>
      <c r="I259" s="2">
        <v>368</v>
      </c>
      <c r="J259" s="2">
        <v>0</v>
      </c>
      <c r="K259" s="1">
        <v>43831</v>
      </c>
      <c r="L259" s="2">
        <f>SUM(Tabla1[[#This Row],[Serv. Culturales Derecho Hab Publ]:[Soci Comedores Pensionados Jubl]])</f>
        <v>56708</v>
      </c>
    </row>
    <row r="260" spans="1:12" x14ac:dyDescent="0.3">
      <c r="A260" s="2">
        <v>2017</v>
      </c>
      <c r="B260" t="s">
        <v>20</v>
      </c>
      <c r="C260" s="2">
        <v>22121</v>
      </c>
      <c r="D260" s="2">
        <v>26970</v>
      </c>
      <c r="E260" s="2">
        <v>0</v>
      </c>
      <c r="F260" s="2">
        <v>10</v>
      </c>
      <c r="G260" s="2">
        <v>3874</v>
      </c>
      <c r="H260" s="2">
        <v>1920</v>
      </c>
      <c r="I260" s="2">
        <v>1670</v>
      </c>
      <c r="J260" s="2">
        <v>0</v>
      </c>
      <c r="K260" s="1">
        <v>42736</v>
      </c>
      <c r="L260" s="2">
        <f>SUM(Tabla1[[#This Row],[Serv. Culturales Derecho Hab Publ]:[Soci Comedores Pensionados Jubl]])</f>
        <v>56565</v>
      </c>
    </row>
    <row r="261" spans="1:12" x14ac:dyDescent="0.3">
      <c r="A261" s="2">
        <v>2014</v>
      </c>
      <c r="B261" t="s">
        <v>17</v>
      </c>
      <c r="C261" s="2">
        <v>32266</v>
      </c>
      <c r="D261" s="2">
        <v>15283</v>
      </c>
      <c r="E261" s="2">
        <v>0</v>
      </c>
      <c r="F261" s="2">
        <v>0</v>
      </c>
      <c r="G261" s="2">
        <v>5180</v>
      </c>
      <c r="H261" s="2">
        <v>1176</v>
      </c>
      <c r="I261" s="2">
        <v>2254</v>
      </c>
      <c r="J261" s="2">
        <v>0</v>
      </c>
      <c r="K261" s="1">
        <v>41640</v>
      </c>
      <c r="L261" s="2">
        <f>SUM(Tabla1[[#This Row],[Serv. Culturales Derecho Hab Publ]:[Soci Comedores Pensionados Jubl]])</f>
        <v>56159</v>
      </c>
    </row>
    <row r="262" spans="1:12" x14ac:dyDescent="0.3">
      <c r="A262" s="2">
        <v>2016</v>
      </c>
      <c r="B262" t="s">
        <v>29</v>
      </c>
      <c r="C262" s="2">
        <v>21249</v>
      </c>
      <c r="D262" s="2">
        <v>0</v>
      </c>
      <c r="E262" s="2">
        <v>0</v>
      </c>
      <c r="F262" s="2">
        <v>0</v>
      </c>
      <c r="G262" s="2">
        <v>9727</v>
      </c>
      <c r="H262" s="2">
        <v>16455</v>
      </c>
      <c r="I262" s="2">
        <v>7818</v>
      </c>
      <c r="J262" s="2">
        <v>0</v>
      </c>
      <c r="K262" s="1">
        <v>42370</v>
      </c>
      <c r="L262" s="2">
        <f>SUM(Tabla1[[#This Row],[Serv. Culturales Derecho Hab Publ]:[Soci Comedores Pensionados Jubl]])</f>
        <v>55249</v>
      </c>
    </row>
    <row r="263" spans="1:12" x14ac:dyDescent="0.3">
      <c r="A263" s="2">
        <v>2018</v>
      </c>
      <c r="B263" t="s">
        <v>20</v>
      </c>
      <c r="C263" s="2">
        <v>23349</v>
      </c>
      <c r="D263" s="2">
        <v>26234</v>
      </c>
      <c r="E263" s="2">
        <v>0</v>
      </c>
      <c r="F263" s="2">
        <v>13</v>
      </c>
      <c r="G263" s="2">
        <v>2271</v>
      </c>
      <c r="H263" s="2">
        <v>1920</v>
      </c>
      <c r="I263" s="2">
        <v>1250</v>
      </c>
      <c r="J263" s="2">
        <v>0</v>
      </c>
      <c r="K263" s="1">
        <v>43101</v>
      </c>
      <c r="L263" s="2">
        <f>SUM(Tabla1[[#This Row],[Serv. Culturales Derecho Hab Publ]:[Soci Comedores Pensionados Jubl]])</f>
        <v>55037</v>
      </c>
    </row>
    <row r="264" spans="1:12" x14ac:dyDescent="0.3">
      <c r="A264" s="2">
        <v>2018</v>
      </c>
      <c r="B264" t="s">
        <v>0</v>
      </c>
      <c r="C264" s="2">
        <v>17227</v>
      </c>
      <c r="D264" s="2">
        <v>21839</v>
      </c>
      <c r="E264" s="2">
        <v>0</v>
      </c>
      <c r="F264" s="2">
        <v>63</v>
      </c>
      <c r="G264" s="2">
        <v>0</v>
      </c>
      <c r="H264" s="2">
        <v>10792</v>
      </c>
      <c r="I264" s="2">
        <v>4878</v>
      </c>
      <c r="J264" s="2">
        <v>0</v>
      </c>
      <c r="K264" s="1">
        <v>43101</v>
      </c>
      <c r="L264" s="2">
        <f>SUM(Tabla1[[#This Row],[Serv. Culturales Derecho Hab Publ]:[Soci Comedores Pensionados Jubl]])</f>
        <v>54799</v>
      </c>
    </row>
    <row r="265" spans="1:12" x14ac:dyDescent="0.3">
      <c r="A265" s="2">
        <v>2014</v>
      </c>
      <c r="B265" t="s">
        <v>20</v>
      </c>
      <c r="C265" s="2">
        <v>21459</v>
      </c>
      <c r="D265" s="2">
        <v>27677</v>
      </c>
      <c r="E265" s="2">
        <v>0</v>
      </c>
      <c r="F265" s="2">
        <v>6</v>
      </c>
      <c r="G265" s="2">
        <v>748</v>
      </c>
      <c r="H265" s="2">
        <v>1920</v>
      </c>
      <c r="I265" s="2">
        <v>1805</v>
      </c>
      <c r="J265" s="2">
        <v>0</v>
      </c>
      <c r="K265" s="1">
        <v>41640</v>
      </c>
      <c r="L265" s="2">
        <f>SUM(Tabla1[[#This Row],[Serv. Culturales Derecho Hab Publ]:[Soci Comedores Pensionados Jubl]])</f>
        <v>53615</v>
      </c>
    </row>
    <row r="266" spans="1:12" x14ac:dyDescent="0.3">
      <c r="A266" s="2">
        <v>2020</v>
      </c>
      <c r="B266" t="s">
        <v>14</v>
      </c>
      <c r="C266" s="2">
        <v>31523</v>
      </c>
      <c r="D266" s="2">
        <v>5186</v>
      </c>
      <c r="E266" s="2">
        <v>0</v>
      </c>
      <c r="F266" s="2">
        <v>19</v>
      </c>
      <c r="G266" s="2">
        <v>0</v>
      </c>
      <c r="H266" s="2">
        <v>376</v>
      </c>
      <c r="I266" s="2">
        <v>13506</v>
      </c>
      <c r="J266" s="2">
        <v>0</v>
      </c>
      <c r="K266" s="1">
        <v>43831</v>
      </c>
      <c r="L266" s="2">
        <f>SUM(Tabla1[[#This Row],[Serv. Culturales Derecho Hab Publ]:[Soci Comedores Pensionados Jubl]])</f>
        <v>50610</v>
      </c>
    </row>
    <row r="267" spans="1:12" x14ac:dyDescent="0.3">
      <c r="A267" s="2">
        <v>2020</v>
      </c>
      <c r="B267" t="s">
        <v>55</v>
      </c>
      <c r="C267" s="2">
        <v>17236</v>
      </c>
      <c r="D267" s="2">
        <v>25514</v>
      </c>
      <c r="E267" s="2">
        <v>0</v>
      </c>
      <c r="F267" s="2">
        <v>1905</v>
      </c>
      <c r="G267" s="2">
        <v>951</v>
      </c>
      <c r="H267" s="2">
        <v>2522</v>
      </c>
      <c r="I267" s="2">
        <v>2471</v>
      </c>
      <c r="J267" s="2">
        <v>0</v>
      </c>
      <c r="K267" s="1">
        <v>43831</v>
      </c>
      <c r="L267" s="2">
        <f>SUM(Tabla1[[#This Row],[Serv. Culturales Derecho Hab Publ]:[Soci Comedores Pensionados Jubl]])</f>
        <v>50599</v>
      </c>
    </row>
    <row r="268" spans="1:12" x14ac:dyDescent="0.3">
      <c r="A268" s="2">
        <v>2019</v>
      </c>
      <c r="B268" t="s">
        <v>0</v>
      </c>
      <c r="C268" s="2">
        <v>10402</v>
      </c>
      <c r="D268" s="2">
        <v>23676</v>
      </c>
      <c r="E268" s="2">
        <v>0</v>
      </c>
      <c r="F268" s="2">
        <v>11</v>
      </c>
      <c r="G268" s="2">
        <v>0</v>
      </c>
      <c r="H268" s="2">
        <v>10488</v>
      </c>
      <c r="I268" s="2">
        <v>4277</v>
      </c>
      <c r="J268" s="2">
        <v>0</v>
      </c>
      <c r="K268" s="1">
        <v>43466</v>
      </c>
      <c r="L268" s="2">
        <f>SUM(Tabla1[[#This Row],[Serv. Culturales Derecho Hab Publ]:[Soci Comedores Pensionados Jubl]])</f>
        <v>48854</v>
      </c>
    </row>
    <row r="269" spans="1:12" x14ac:dyDescent="0.3">
      <c r="A269" s="2">
        <v>2016</v>
      </c>
      <c r="B269" t="s">
        <v>31</v>
      </c>
      <c r="C269" s="2">
        <v>0</v>
      </c>
      <c r="D269" s="2">
        <v>0</v>
      </c>
      <c r="E269" s="2">
        <v>0</v>
      </c>
      <c r="F269" s="2">
        <v>0</v>
      </c>
      <c r="G269" s="2">
        <v>6060</v>
      </c>
      <c r="H269" s="2">
        <v>0</v>
      </c>
      <c r="I269" s="2">
        <v>0</v>
      </c>
      <c r="J269" s="2">
        <v>41507</v>
      </c>
      <c r="K269" s="1">
        <v>42370</v>
      </c>
      <c r="L269" s="2">
        <f>SUM(Tabla1[[#This Row],[Serv. Culturales Derecho Hab Publ]:[Soci Comedores Pensionados Jubl]])</f>
        <v>47567</v>
      </c>
    </row>
    <row r="270" spans="1:12" x14ac:dyDescent="0.3">
      <c r="A270" s="2">
        <v>2014</v>
      </c>
      <c r="B270" t="s">
        <v>5</v>
      </c>
      <c r="C270" s="2">
        <v>18086</v>
      </c>
      <c r="D270" s="2">
        <v>14706</v>
      </c>
      <c r="E270" s="2">
        <v>0</v>
      </c>
      <c r="F270" s="2">
        <v>1</v>
      </c>
      <c r="G270" s="2">
        <v>924</v>
      </c>
      <c r="H270" s="2">
        <v>11975</v>
      </c>
      <c r="I270" s="2">
        <v>657</v>
      </c>
      <c r="J270" s="2">
        <v>0</v>
      </c>
      <c r="K270" s="1">
        <v>41640</v>
      </c>
      <c r="L270" s="2">
        <f>SUM(Tabla1[[#This Row],[Serv. Culturales Derecho Hab Publ]:[Soci Comedores Pensionados Jubl]])</f>
        <v>46349</v>
      </c>
    </row>
    <row r="271" spans="1:12" x14ac:dyDescent="0.3">
      <c r="A271" s="2">
        <v>2020</v>
      </c>
      <c r="B271" t="s">
        <v>10</v>
      </c>
      <c r="C271" s="2">
        <v>27129</v>
      </c>
      <c r="D271" s="2">
        <v>15133</v>
      </c>
      <c r="E271" s="2">
        <v>0</v>
      </c>
      <c r="F271" s="2">
        <v>152</v>
      </c>
      <c r="G271" s="2">
        <v>627</v>
      </c>
      <c r="H271" s="2">
        <v>615</v>
      </c>
      <c r="I271" s="2">
        <v>2033</v>
      </c>
      <c r="J271" s="2">
        <v>0</v>
      </c>
      <c r="K271" s="1">
        <v>43831</v>
      </c>
      <c r="L271" s="2">
        <f>SUM(Tabla1[[#This Row],[Serv. Culturales Derecho Hab Publ]:[Soci Comedores Pensionados Jubl]])</f>
        <v>45689</v>
      </c>
    </row>
    <row r="272" spans="1:12" x14ac:dyDescent="0.3">
      <c r="A272" s="2">
        <v>2013</v>
      </c>
      <c r="B272" t="s">
        <v>20</v>
      </c>
      <c r="C272" s="2">
        <v>12487</v>
      </c>
      <c r="D272" s="2">
        <v>29228</v>
      </c>
      <c r="E272" s="2">
        <v>0</v>
      </c>
      <c r="F272" s="2">
        <v>12</v>
      </c>
      <c r="G272" s="2">
        <v>148</v>
      </c>
      <c r="H272" s="2">
        <v>1920</v>
      </c>
      <c r="I272" s="2">
        <v>1060</v>
      </c>
      <c r="J272" s="2">
        <v>0</v>
      </c>
      <c r="K272" s="1">
        <v>41275</v>
      </c>
      <c r="L272" s="2">
        <f>SUM(Tabla1[[#This Row],[Serv. Culturales Derecho Hab Publ]:[Soci Comedores Pensionados Jubl]])</f>
        <v>44855</v>
      </c>
    </row>
    <row r="273" spans="1:12" x14ac:dyDescent="0.3">
      <c r="A273" s="2">
        <v>2025</v>
      </c>
      <c r="B273" t="s">
        <v>26</v>
      </c>
      <c r="C273" s="2">
        <v>0</v>
      </c>
      <c r="D273" s="2">
        <v>0</v>
      </c>
      <c r="E273" s="2">
        <v>41812</v>
      </c>
      <c r="F273" s="2">
        <v>0</v>
      </c>
      <c r="G273" s="2">
        <v>1951</v>
      </c>
      <c r="H273" s="2">
        <v>0</v>
      </c>
      <c r="I273" s="2">
        <v>0</v>
      </c>
      <c r="J273" s="2">
        <v>0</v>
      </c>
      <c r="K273" s="1">
        <v>45658</v>
      </c>
      <c r="L273" s="2">
        <f>SUM(Tabla1[[#This Row],[Serv. Culturales Derecho Hab Publ]:[Soci Comedores Pensionados Jubl]])</f>
        <v>43763</v>
      </c>
    </row>
    <row r="274" spans="1:12" x14ac:dyDescent="0.3">
      <c r="A274" s="2">
        <v>2015</v>
      </c>
      <c r="B274" t="s">
        <v>16</v>
      </c>
      <c r="C274" s="2">
        <v>13941</v>
      </c>
      <c r="D274" s="2">
        <v>26925</v>
      </c>
      <c r="E274" s="2">
        <v>0</v>
      </c>
      <c r="F274" s="2">
        <v>0</v>
      </c>
      <c r="G274" s="2">
        <v>0</v>
      </c>
      <c r="H274" s="2">
        <v>2098</v>
      </c>
      <c r="I274" s="2">
        <v>111</v>
      </c>
      <c r="J274" s="2">
        <v>0</v>
      </c>
      <c r="K274" s="1">
        <v>42005</v>
      </c>
      <c r="L274" s="2">
        <f>SUM(Tabla1[[#This Row],[Serv. Culturales Derecho Hab Publ]:[Soci Comedores Pensionados Jubl]])</f>
        <v>43075</v>
      </c>
    </row>
    <row r="275" spans="1:12" x14ac:dyDescent="0.3">
      <c r="A275" s="2">
        <v>2020</v>
      </c>
      <c r="B275" t="s">
        <v>23</v>
      </c>
      <c r="C275" s="2">
        <v>12471</v>
      </c>
      <c r="D275" s="2">
        <v>24051</v>
      </c>
      <c r="E275" s="2">
        <v>0</v>
      </c>
      <c r="F275" s="2">
        <v>440</v>
      </c>
      <c r="G275" s="2">
        <v>700</v>
      </c>
      <c r="H275" s="2">
        <v>4024</v>
      </c>
      <c r="I275" s="2">
        <v>930</v>
      </c>
      <c r="J275" s="2">
        <v>0</v>
      </c>
      <c r="K275" s="1">
        <v>43831</v>
      </c>
      <c r="L275" s="2">
        <f>SUM(Tabla1[[#This Row],[Serv. Culturales Derecho Hab Publ]:[Soci Comedores Pensionados Jubl]])</f>
        <v>42616</v>
      </c>
    </row>
    <row r="276" spans="1:12" x14ac:dyDescent="0.3">
      <c r="A276" s="2">
        <v>2020</v>
      </c>
      <c r="B276" t="s">
        <v>54</v>
      </c>
      <c r="C276" s="2">
        <v>158</v>
      </c>
      <c r="D276" s="2">
        <v>26737</v>
      </c>
      <c r="E276" s="2">
        <v>0</v>
      </c>
      <c r="F276" s="2">
        <v>20</v>
      </c>
      <c r="G276" s="2">
        <v>815</v>
      </c>
      <c r="H276" s="2">
        <v>14666</v>
      </c>
      <c r="I276" s="2">
        <v>215</v>
      </c>
      <c r="J276" s="2">
        <v>0</v>
      </c>
      <c r="K276" s="1">
        <v>43831</v>
      </c>
      <c r="L276" s="2">
        <f>SUM(Tabla1[[#This Row],[Serv. Culturales Derecho Hab Publ]:[Soci Comedores Pensionados Jubl]])</f>
        <v>42611</v>
      </c>
    </row>
    <row r="277" spans="1:12" x14ac:dyDescent="0.3">
      <c r="A277" s="2">
        <v>2020</v>
      </c>
      <c r="B277" t="s">
        <v>3</v>
      </c>
      <c r="C277" s="2">
        <v>12605</v>
      </c>
      <c r="D277" s="2">
        <v>20194</v>
      </c>
      <c r="E277" s="2">
        <v>0</v>
      </c>
      <c r="F277" s="2">
        <v>6</v>
      </c>
      <c r="G277" s="2">
        <v>1855</v>
      </c>
      <c r="H277" s="2">
        <v>5007</v>
      </c>
      <c r="I277" s="2">
        <v>1502</v>
      </c>
      <c r="J277" s="2">
        <v>0</v>
      </c>
      <c r="K277" s="1">
        <v>43831</v>
      </c>
      <c r="L277" s="2">
        <f>SUM(Tabla1[[#This Row],[Serv. Culturales Derecho Hab Publ]:[Soci Comedores Pensionados Jubl]])</f>
        <v>41169</v>
      </c>
    </row>
    <row r="278" spans="1:12" x14ac:dyDescent="0.3">
      <c r="A278" s="2">
        <v>2019</v>
      </c>
      <c r="B278" t="s">
        <v>32</v>
      </c>
      <c r="C278" s="2">
        <v>23337</v>
      </c>
      <c r="D278" s="2">
        <v>11851</v>
      </c>
      <c r="E278" s="2">
        <v>0</v>
      </c>
      <c r="F278" s="2">
        <v>74</v>
      </c>
      <c r="G278" s="2">
        <v>0</v>
      </c>
      <c r="H278" s="2">
        <v>663</v>
      </c>
      <c r="I278" s="2">
        <v>3331</v>
      </c>
      <c r="J278" s="2">
        <v>0</v>
      </c>
      <c r="K278" s="1">
        <v>43466</v>
      </c>
      <c r="L278" s="2">
        <f>SUM(Tabla1[[#This Row],[Serv. Culturales Derecho Hab Publ]:[Soci Comedores Pensionados Jubl]])</f>
        <v>39256</v>
      </c>
    </row>
    <row r="279" spans="1:12" x14ac:dyDescent="0.3">
      <c r="A279" s="2">
        <v>2020</v>
      </c>
      <c r="B279" t="s">
        <v>13</v>
      </c>
      <c r="C279" s="2">
        <v>4831</v>
      </c>
      <c r="D279" s="2">
        <v>26895</v>
      </c>
      <c r="E279" s="2">
        <v>0</v>
      </c>
      <c r="F279" s="2">
        <v>245</v>
      </c>
      <c r="G279" s="2">
        <v>1244</v>
      </c>
      <c r="H279" s="2">
        <v>2240</v>
      </c>
      <c r="I279" s="2">
        <v>172</v>
      </c>
      <c r="J279" s="2">
        <v>0</v>
      </c>
      <c r="K279" s="1">
        <v>43831</v>
      </c>
      <c r="L279" s="2">
        <f>SUM(Tabla1[[#This Row],[Serv. Culturales Derecho Hab Publ]:[Soci Comedores Pensionados Jubl]])</f>
        <v>35627</v>
      </c>
    </row>
    <row r="280" spans="1:12" x14ac:dyDescent="0.3">
      <c r="A280" s="2">
        <v>2016</v>
      </c>
      <c r="B280" t="s">
        <v>47</v>
      </c>
      <c r="C280" s="2">
        <v>26285</v>
      </c>
      <c r="D280" s="2">
        <v>0</v>
      </c>
      <c r="E280" s="2">
        <v>0</v>
      </c>
      <c r="F280" s="2">
        <v>0</v>
      </c>
      <c r="G280" s="2">
        <v>5618</v>
      </c>
      <c r="H280" s="2">
        <v>1160</v>
      </c>
      <c r="I280" s="2">
        <v>1998</v>
      </c>
      <c r="J280" s="2">
        <v>0</v>
      </c>
      <c r="K280" s="1">
        <v>42370</v>
      </c>
      <c r="L280" s="2">
        <f>SUM(Tabla1[[#This Row],[Serv. Culturales Derecho Hab Publ]:[Soci Comedores Pensionados Jubl]])</f>
        <v>35061</v>
      </c>
    </row>
    <row r="281" spans="1:12" x14ac:dyDescent="0.3">
      <c r="A281" s="2">
        <v>2020</v>
      </c>
      <c r="B281" t="s">
        <v>33</v>
      </c>
      <c r="C281" s="2">
        <v>256</v>
      </c>
      <c r="D281" s="2">
        <v>29171</v>
      </c>
      <c r="E281" s="2">
        <v>0</v>
      </c>
      <c r="F281" s="2">
        <v>0</v>
      </c>
      <c r="G281" s="2">
        <v>48</v>
      </c>
      <c r="H281" s="2">
        <v>4240</v>
      </c>
      <c r="I281" s="2">
        <v>251</v>
      </c>
      <c r="J281" s="2">
        <v>0</v>
      </c>
      <c r="K281" s="1">
        <v>43831</v>
      </c>
      <c r="L281" s="2">
        <f>SUM(Tabla1[[#This Row],[Serv. Culturales Derecho Hab Publ]:[Soci Comedores Pensionados Jubl]])</f>
        <v>33966</v>
      </c>
    </row>
    <row r="282" spans="1:12" x14ac:dyDescent="0.3">
      <c r="A282" s="2">
        <v>2020</v>
      </c>
      <c r="B282" t="s">
        <v>11</v>
      </c>
      <c r="C282" s="2">
        <v>1393</v>
      </c>
      <c r="D282" s="2">
        <v>28950</v>
      </c>
      <c r="E282" s="2">
        <v>0</v>
      </c>
      <c r="F282" s="2">
        <v>151</v>
      </c>
      <c r="G282" s="2">
        <v>272</v>
      </c>
      <c r="H282" s="2">
        <v>1681</v>
      </c>
      <c r="I282" s="2">
        <v>164</v>
      </c>
      <c r="J282" s="2">
        <v>0</v>
      </c>
      <c r="K282" s="1">
        <v>43831</v>
      </c>
      <c r="L282" s="2">
        <f>SUM(Tabla1[[#This Row],[Serv. Culturales Derecho Hab Publ]:[Soci Comedores Pensionados Jubl]])</f>
        <v>32611</v>
      </c>
    </row>
    <row r="283" spans="1:12" x14ac:dyDescent="0.3">
      <c r="A283" s="2">
        <v>2016</v>
      </c>
      <c r="B283" t="s">
        <v>0</v>
      </c>
      <c r="C283" s="2">
        <v>21640</v>
      </c>
      <c r="D283" s="2">
        <v>0</v>
      </c>
      <c r="E283" s="2">
        <v>0</v>
      </c>
      <c r="F283" s="2">
        <v>0</v>
      </c>
      <c r="G283" s="2">
        <v>1023</v>
      </c>
      <c r="H283" s="2">
        <v>3437</v>
      </c>
      <c r="I283" s="2">
        <v>5292</v>
      </c>
      <c r="J283" s="2">
        <v>0</v>
      </c>
      <c r="K283" s="1">
        <v>42370</v>
      </c>
      <c r="L283" s="2">
        <f>SUM(Tabla1[[#This Row],[Serv. Culturales Derecho Hab Publ]:[Soci Comedores Pensionados Jubl]])</f>
        <v>31392</v>
      </c>
    </row>
    <row r="284" spans="1:12" x14ac:dyDescent="0.3">
      <c r="A284" s="2">
        <v>2016</v>
      </c>
      <c r="B284" t="s">
        <v>9</v>
      </c>
      <c r="C284" s="2">
        <v>24074</v>
      </c>
      <c r="D284" s="2">
        <v>0</v>
      </c>
      <c r="E284" s="2">
        <v>0</v>
      </c>
      <c r="F284" s="2">
        <v>0</v>
      </c>
      <c r="G284" s="2">
        <v>1400</v>
      </c>
      <c r="H284" s="2">
        <v>1294</v>
      </c>
      <c r="I284" s="2">
        <v>1580</v>
      </c>
      <c r="J284" s="2">
        <v>0</v>
      </c>
      <c r="K284" s="1">
        <v>42370</v>
      </c>
      <c r="L284" s="2">
        <f>SUM(Tabla1[[#This Row],[Serv. Culturales Derecho Hab Publ]:[Soci Comedores Pensionados Jubl]])</f>
        <v>28348</v>
      </c>
    </row>
    <row r="285" spans="1:12" x14ac:dyDescent="0.3">
      <c r="A285" s="2">
        <v>2020</v>
      </c>
      <c r="B285" t="s">
        <v>51</v>
      </c>
      <c r="C285" s="2">
        <v>10930</v>
      </c>
      <c r="D285" s="2">
        <v>11393</v>
      </c>
      <c r="E285" s="2">
        <v>0</v>
      </c>
      <c r="F285" s="2">
        <v>127</v>
      </c>
      <c r="G285" s="2">
        <v>764</v>
      </c>
      <c r="H285" s="2">
        <v>3525</v>
      </c>
      <c r="I285" s="2">
        <v>1154</v>
      </c>
      <c r="J285" s="2">
        <v>0</v>
      </c>
      <c r="K285" s="1">
        <v>43831</v>
      </c>
      <c r="L285" s="2">
        <f>SUM(Tabla1[[#This Row],[Serv. Culturales Derecho Hab Publ]:[Soci Comedores Pensionados Jubl]])</f>
        <v>27893</v>
      </c>
    </row>
    <row r="286" spans="1:12" x14ac:dyDescent="0.3">
      <c r="A286" s="2">
        <v>2020</v>
      </c>
      <c r="B286" t="s">
        <v>15</v>
      </c>
      <c r="C286" s="2">
        <v>6925</v>
      </c>
      <c r="D286" s="2">
        <v>12497</v>
      </c>
      <c r="E286" s="2">
        <v>0</v>
      </c>
      <c r="F286" s="2">
        <v>472</v>
      </c>
      <c r="G286" s="2">
        <v>4198</v>
      </c>
      <c r="H286" s="2">
        <v>1519</v>
      </c>
      <c r="I286" s="2">
        <v>1330</v>
      </c>
      <c r="J286" s="2">
        <v>0</v>
      </c>
      <c r="K286" s="1">
        <v>43831</v>
      </c>
      <c r="L286" s="2">
        <f>SUM(Tabla1[[#This Row],[Serv. Culturales Derecho Hab Publ]:[Soci Comedores Pensionados Jubl]])</f>
        <v>26941</v>
      </c>
    </row>
    <row r="287" spans="1:12" x14ac:dyDescent="0.3">
      <c r="A287" s="2">
        <v>2022</v>
      </c>
      <c r="B287" t="s">
        <v>31</v>
      </c>
      <c r="C287" s="2">
        <v>0</v>
      </c>
      <c r="D287" s="2">
        <v>0</v>
      </c>
      <c r="E287" s="2">
        <v>0</v>
      </c>
      <c r="F287" s="2">
        <v>0</v>
      </c>
      <c r="G287" s="2">
        <v>1744</v>
      </c>
      <c r="H287" s="2">
        <v>0</v>
      </c>
      <c r="I287" s="2">
        <v>0</v>
      </c>
      <c r="J287" s="2">
        <v>24597</v>
      </c>
      <c r="K287" s="1">
        <v>44562</v>
      </c>
      <c r="L287" s="2">
        <f>SUM(Tabla1[[#This Row],[Serv. Culturales Derecho Hab Publ]:[Soci Comedores Pensionados Jubl]])</f>
        <v>26341</v>
      </c>
    </row>
    <row r="288" spans="1:12" x14ac:dyDescent="0.3">
      <c r="A288" s="2">
        <v>2020</v>
      </c>
      <c r="B288" t="s">
        <v>47</v>
      </c>
      <c r="C288" s="2">
        <v>15319</v>
      </c>
      <c r="D288" s="2">
        <v>7478</v>
      </c>
      <c r="E288" s="2">
        <v>0</v>
      </c>
      <c r="F288" s="2">
        <v>0</v>
      </c>
      <c r="G288" s="2">
        <v>590</v>
      </c>
      <c r="H288" s="2">
        <v>1722</v>
      </c>
      <c r="I288" s="2">
        <v>420</v>
      </c>
      <c r="J288" s="2">
        <v>0</v>
      </c>
      <c r="K288" s="1">
        <v>43831</v>
      </c>
      <c r="L288" s="2">
        <f>SUM(Tabla1[[#This Row],[Serv. Culturales Derecho Hab Publ]:[Soci Comedores Pensionados Jubl]])</f>
        <v>25529</v>
      </c>
    </row>
    <row r="289" spans="1:12" x14ac:dyDescent="0.3">
      <c r="A289" s="2">
        <v>2020</v>
      </c>
      <c r="B289" t="s">
        <v>4</v>
      </c>
      <c r="C289" s="2">
        <v>0</v>
      </c>
      <c r="D289" s="2">
        <v>24366</v>
      </c>
      <c r="E289" s="2">
        <v>0</v>
      </c>
      <c r="F289" s="2">
        <v>76</v>
      </c>
      <c r="G289" s="2">
        <v>0</v>
      </c>
      <c r="H289" s="2">
        <v>665</v>
      </c>
      <c r="I289" s="2">
        <v>0</v>
      </c>
      <c r="J289" s="2">
        <v>0</v>
      </c>
      <c r="K289" s="1">
        <v>43831</v>
      </c>
      <c r="L289" s="2">
        <f>SUM(Tabla1[[#This Row],[Serv. Culturales Derecho Hab Publ]:[Soci Comedores Pensionados Jubl]])</f>
        <v>25107</v>
      </c>
    </row>
    <row r="290" spans="1:12" x14ac:dyDescent="0.3">
      <c r="A290" s="2">
        <v>2020</v>
      </c>
      <c r="B290" t="s">
        <v>7</v>
      </c>
      <c r="C290" s="2">
        <v>7777</v>
      </c>
      <c r="D290" s="2">
        <v>8124</v>
      </c>
      <c r="E290" s="2">
        <v>0</v>
      </c>
      <c r="F290" s="2">
        <v>38</v>
      </c>
      <c r="G290" s="2">
        <v>1248</v>
      </c>
      <c r="H290" s="2">
        <v>3730</v>
      </c>
      <c r="I290" s="2">
        <v>961</v>
      </c>
      <c r="J290" s="2">
        <v>0</v>
      </c>
      <c r="K290" s="1">
        <v>43831</v>
      </c>
      <c r="L290" s="2">
        <f>SUM(Tabla1[[#This Row],[Serv. Culturales Derecho Hab Publ]:[Soci Comedores Pensionados Jubl]])</f>
        <v>21878</v>
      </c>
    </row>
    <row r="291" spans="1:12" x14ac:dyDescent="0.3">
      <c r="A291" s="2">
        <v>2020</v>
      </c>
      <c r="B291" t="s">
        <v>6</v>
      </c>
      <c r="C291" s="2">
        <v>8471</v>
      </c>
      <c r="D291" s="2">
        <v>9155</v>
      </c>
      <c r="E291" s="2">
        <v>0</v>
      </c>
      <c r="F291" s="2">
        <v>143</v>
      </c>
      <c r="G291" s="2">
        <v>908</v>
      </c>
      <c r="H291" s="2">
        <v>1168</v>
      </c>
      <c r="I291" s="2">
        <v>1800</v>
      </c>
      <c r="J291" s="2">
        <v>0</v>
      </c>
      <c r="K291" s="1">
        <v>43831</v>
      </c>
      <c r="L291" s="2">
        <f>SUM(Tabla1[[#This Row],[Serv. Culturales Derecho Hab Publ]:[Soci Comedores Pensionados Jubl]])</f>
        <v>21645</v>
      </c>
    </row>
    <row r="292" spans="1:12" x14ac:dyDescent="0.3">
      <c r="A292" s="2">
        <v>2020</v>
      </c>
      <c r="B292" t="s">
        <v>21</v>
      </c>
      <c r="C292" s="2">
        <v>10049</v>
      </c>
      <c r="D292" s="2">
        <v>6948</v>
      </c>
      <c r="E292" s="2">
        <v>0</v>
      </c>
      <c r="F292" s="2">
        <v>362</v>
      </c>
      <c r="G292" s="2">
        <v>908</v>
      </c>
      <c r="H292" s="2">
        <v>2542</v>
      </c>
      <c r="I292" s="2">
        <v>792</v>
      </c>
      <c r="J292" s="2">
        <v>0</v>
      </c>
      <c r="K292" s="1">
        <v>43831</v>
      </c>
      <c r="L292" s="2">
        <f>SUM(Tabla1[[#This Row],[Serv. Culturales Derecho Hab Publ]:[Soci Comedores Pensionados Jubl]])</f>
        <v>21601</v>
      </c>
    </row>
    <row r="293" spans="1:12" x14ac:dyDescent="0.3">
      <c r="A293" s="2">
        <v>2020</v>
      </c>
      <c r="B293" t="s">
        <v>48</v>
      </c>
      <c r="C293" s="2">
        <v>4574</v>
      </c>
      <c r="D293" s="2">
        <v>13057</v>
      </c>
      <c r="E293" s="2">
        <v>0</v>
      </c>
      <c r="F293" s="2">
        <v>1673</v>
      </c>
      <c r="G293" s="2">
        <v>444</v>
      </c>
      <c r="H293" s="2">
        <v>707</v>
      </c>
      <c r="I293" s="2">
        <v>377</v>
      </c>
      <c r="J293" s="2">
        <v>0</v>
      </c>
      <c r="K293" s="1">
        <v>43831</v>
      </c>
      <c r="L293" s="2">
        <f>SUM(Tabla1[[#This Row],[Serv. Culturales Derecho Hab Publ]:[Soci Comedores Pensionados Jubl]])</f>
        <v>20832</v>
      </c>
    </row>
    <row r="294" spans="1:12" x14ac:dyDescent="0.3">
      <c r="A294" s="2">
        <v>2016</v>
      </c>
      <c r="B294" t="s">
        <v>20</v>
      </c>
      <c r="C294" s="2">
        <v>16579</v>
      </c>
      <c r="D294" s="2">
        <v>0</v>
      </c>
      <c r="E294" s="2">
        <v>0</v>
      </c>
      <c r="F294" s="2">
        <v>0</v>
      </c>
      <c r="G294" s="2">
        <v>680</v>
      </c>
      <c r="H294" s="2">
        <v>1440</v>
      </c>
      <c r="I294" s="2">
        <v>855</v>
      </c>
      <c r="J294" s="2">
        <v>0</v>
      </c>
      <c r="K294" s="1">
        <v>42370</v>
      </c>
      <c r="L294" s="2">
        <f>SUM(Tabla1[[#This Row],[Serv. Culturales Derecho Hab Publ]:[Soci Comedores Pensionados Jubl]])</f>
        <v>19554</v>
      </c>
    </row>
    <row r="295" spans="1:12" x14ac:dyDescent="0.3">
      <c r="A295" s="2">
        <v>2020</v>
      </c>
      <c r="B295" t="s">
        <v>5</v>
      </c>
      <c r="C295" s="2">
        <v>11790</v>
      </c>
      <c r="D295" s="2">
        <v>3194</v>
      </c>
      <c r="E295" s="2">
        <v>0</v>
      </c>
      <c r="F295" s="2">
        <v>19</v>
      </c>
      <c r="G295" s="2">
        <v>198</v>
      </c>
      <c r="H295" s="2">
        <v>2545</v>
      </c>
      <c r="I295" s="2">
        <v>1465</v>
      </c>
      <c r="J295" s="2">
        <v>0</v>
      </c>
      <c r="K295" s="1">
        <v>43831</v>
      </c>
      <c r="L295" s="2">
        <f>SUM(Tabla1[[#This Row],[Serv. Culturales Derecho Hab Publ]:[Soci Comedores Pensionados Jubl]])</f>
        <v>19211</v>
      </c>
    </row>
    <row r="296" spans="1:12" x14ac:dyDescent="0.3">
      <c r="A296" s="2">
        <v>2020</v>
      </c>
      <c r="B296" t="s">
        <v>22</v>
      </c>
      <c r="C296" s="2">
        <v>7673</v>
      </c>
      <c r="D296" s="2">
        <v>9776</v>
      </c>
      <c r="E296" s="2">
        <v>0</v>
      </c>
      <c r="F296" s="2">
        <v>124</v>
      </c>
      <c r="G296" s="2">
        <v>336</v>
      </c>
      <c r="H296" s="2">
        <v>876</v>
      </c>
      <c r="I296" s="2">
        <v>218</v>
      </c>
      <c r="J296" s="2">
        <v>0</v>
      </c>
      <c r="K296" s="1">
        <v>43831</v>
      </c>
      <c r="L296" s="2">
        <f>SUM(Tabla1[[#This Row],[Serv. Culturales Derecho Hab Publ]:[Soci Comedores Pensionados Jubl]])</f>
        <v>19003</v>
      </c>
    </row>
    <row r="297" spans="1:12" x14ac:dyDescent="0.3">
      <c r="A297" s="2">
        <v>2021</v>
      </c>
      <c r="B297" t="s">
        <v>26</v>
      </c>
      <c r="C297" s="2">
        <v>0</v>
      </c>
      <c r="D297" s="2">
        <v>0</v>
      </c>
      <c r="E297" s="2">
        <v>16560</v>
      </c>
      <c r="F297" s="2">
        <v>0</v>
      </c>
      <c r="G297" s="2">
        <v>0</v>
      </c>
      <c r="H297" s="2">
        <v>0</v>
      </c>
      <c r="I297" s="2">
        <v>0</v>
      </c>
      <c r="J297" s="2">
        <v>0</v>
      </c>
      <c r="K297" s="1">
        <v>44197</v>
      </c>
      <c r="L297" s="2">
        <f>SUM(Tabla1[[#This Row],[Serv. Culturales Derecho Hab Publ]:[Soci Comedores Pensionados Jubl]])</f>
        <v>16560</v>
      </c>
    </row>
    <row r="298" spans="1:12" x14ac:dyDescent="0.3">
      <c r="A298" s="2">
        <v>2016</v>
      </c>
      <c r="B298" t="s">
        <v>33</v>
      </c>
      <c r="C298" s="2">
        <v>10646</v>
      </c>
      <c r="D298" s="2">
        <v>0</v>
      </c>
      <c r="E298" s="2">
        <v>0</v>
      </c>
      <c r="F298" s="2">
        <v>0</v>
      </c>
      <c r="G298" s="2">
        <v>868</v>
      </c>
      <c r="H298" s="2">
        <v>2571</v>
      </c>
      <c r="I298" s="2">
        <v>1972</v>
      </c>
      <c r="J298" s="2">
        <v>0</v>
      </c>
      <c r="K298" s="1">
        <v>42370</v>
      </c>
      <c r="L298" s="2">
        <f>SUM(Tabla1[[#This Row],[Serv. Culturales Derecho Hab Publ]:[Soci Comedores Pensionados Jubl]])</f>
        <v>16057</v>
      </c>
    </row>
    <row r="299" spans="1:12" x14ac:dyDescent="0.3">
      <c r="A299" s="2">
        <v>2022</v>
      </c>
      <c r="B299" t="s">
        <v>46</v>
      </c>
      <c r="C299" s="2">
        <v>1468</v>
      </c>
      <c r="D299" s="2">
        <v>1180</v>
      </c>
      <c r="E299" s="2">
        <v>4</v>
      </c>
      <c r="F299" s="2">
        <v>2171</v>
      </c>
      <c r="G299" s="2">
        <v>9327</v>
      </c>
      <c r="H299" s="2">
        <v>436</v>
      </c>
      <c r="I299" s="2">
        <v>305</v>
      </c>
      <c r="J299" s="2">
        <v>0</v>
      </c>
      <c r="K299" s="1">
        <v>44562</v>
      </c>
      <c r="L299" s="2">
        <f>SUM(Tabla1[[#This Row],[Serv. Culturales Derecho Hab Publ]:[Soci Comedores Pensionados Jubl]])</f>
        <v>14891</v>
      </c>
    </row>
    <row r="300" spans="1:12" x14ac:dyDescent="0.3">
      <c r="A300" s="2">
        <v>2020</v>
      </c>
      <c r="B300" t="s">
        <v>12</v>
      </c>
      <c r="C300" s="2">
        <v>8048</v>
      </c>
      <c r="D300" s="2">
        <v>5052</v>
      </c>
      <c r="E300" s="2">
        <v>0</v>
      </c>
      <c r="F300" s="2">
        <v>102</v>
      </c>
      <c r="G300" s="2">
        <v>161</v>
      </c>
      <c r="H300" s="2">
        <v>1137</v>
      </c>
      <c r="I300" s="2">
        <v>333</v>
      </c>
      <c r="J300" s="2">
        <v>0</v>
      </c>
      <c r="K300" s="1">
        <v>43831</v>
      </c>
      <c r="L300" s="2">
        <f>SUM(Tabla1[[#This Row],[Serv. Culturales Derecho Hab Publ]:[Soci Comedores Pensionados Jubl]])</f>
        <v>14833</v>
      </c>
    </row>
    <row r="301" spans="1:12" x14ac:dyDescent="0.3">
      <c r="A301" s="2">
        <v>2020</v>
      </c>
      <c r="B301" t="s">
        <v>16</v>
      </c>
      <c r="C301" s="2">
        <v>2703</v>
      </c>
      <c r="D301" s="2">
        <v>7528</v>
      </c>
      <c r="E301" s="2">
        <v>0</v>
      </c>
      <c r="F301" s="2">
        <v>0</v>
      </c>
      <c r="G301" s="2">
        <v>1830</v>
      </c>
      <c r="H301" s="2">
        <v>1533</v>
      </c>
      <c r="I301" s="2">
        <v>1225</v>
      </c>
      <c r="J301" s="2">
        <v>0</v>
      </c>
      <c r="K301" s="1">
        <v>43831</v>
      </c>
      <c r="L301" s="2">
        <f>SUM(Tabla1[[#This Row],[Serv. Culturales Derecho Hab Publ]:[Soci Comedores Pensionados Jubl]])</f>
        <v>14819</v>
      </c>
    </row>
    <row r="302" spans="1:12" x14ac:dyDescent="0.3">
      <c r="A302" s="2">
        <v>2020</v>
      </c>
      <c r="B302" t="s">
        <v>0</v>
      </c>
      <c r="C302" s="2">
        <v>2997</v>
      </c>
      <c r="D302" s="2">
        <v>6210</v>
      </c>
      <c r="E302" s="2">
        <v>0</v>
      </c>
      <c r="F302" s="2">
        <v>121</v>
      </c>
      <c r="G302" s="2">
        <v>0</v>
      </c>
      <c r="H302" s="2">
        <v>3082</v>
      </c>
      <c r="I302" s="2">
        <v>1548</v>
      </c>
      <c r="J302" s="2">
        <v>0</v>
      </c>
      <c r="K302" s="1">
        <v>43831</v>
      </c>
      <c r="L302" s="2">
        <f>SUM(Tabla1[[#This Row],[Serv. Culturales Derecho Hab Publ]:[Soci Comedores Pensionados Jubl]])</f>
        <v>13958</v>
      </c>
    </row>
    <row r="303" spans="1:12" x14ac:dyDescent="0.3">
      <c r="A303" s="2">
        <v>2020</v>
      </c>
      <c r="B303" t="s">
        <v>20</v>
      </c>
      <c r="C303" s="2">
        <v>3899</v>
      </c>
      <c r="D303" s="2">
        <v>7153</v>
      </c>
      <c r="E303" s="2">
        <v>0</v>
      </c>
      <c r="F303" s="2">
        <v>0</v>
      </c>
      <c r="G303" s="2">
        <v>0</v>
      </c>
      <c r="H303" s="2">
        <v>480</v>
      </c>
      <c r="I303" s="2">
        <v>367</v>
      </c>
      <c r="J303" s="2">
        <v>0</v>
      </c>
      <c r="K303" s="1">
        <v>43831</v>
      </c>
      <c r="L303" s="2">
        <f>SUM(Tabla1[[#This Row],[Serv. Culturales Derecho Hab Publ]:[Soci Comedores Pensionados Jubl]])</f>
        <v>11899</v>
      </c>
    </row>
    <row r="304" spans="1:12" x14ac:dyDescent="0.3">
      <c r="A304" s="2">
        <v>2020</v>
      </c>
      <c r="B304" t="s">
        <v>26</v>
      </c>
      <c r="C304" s="2">
        <v>0</v>
      </c>
      <c r="D304" s="2">
        <v>0</v>
      </c>
      <c r="E304" s="2">
        <v>11320</v>
      </c>
      <c r="F304" s="2">
        <v>0</v>
      </c>
      <c r="G304" s="2">
        <v>0</v>
      </c>
      <c r="H304" s="2">
        <v>0</v>
      </c>
      <c r="I304" s="2">
        <v>0</v>
      </c>
      <c r="J304" s="2">
        <v>0</v>
      </c>
      <c r="K304" s="1">
        <v>43831</v>
      </c>
      <c r="L304" s="2">
        <f>SUM(Tabla1[[#This Row],[Serv. Culturales Derecho Hab Publ]:[Soci Comedores Pensionados Jubl]])</f>
        <v>11320</v>
      </c>
    </row>
    <row r="305" spans="1:12" x14ac:dyDescent="0.3">
      <c r="A305" s="2">
        <v>2024</v>
      </c>
      <c r="B305" t="s">
        <v>56</v>
      </c>
      <c r="C305" s="2">
        <v>3138</v>
      </c>
      <c r="D305" s="2">
        <v>2565</v>
      </c>
      <c r="E305" s="2">
        <v>0</v>
      </c>
      <c r="F305" s="2">
        <v>2594</v>
      </c>
      <c r="G305" s="2">
        <v>742</v>
      </c>
      <c r="H305" s="2">
        <v>1697</v>
      </c>
      <c r="I305" s="2">
        <v>367</v>
      </c>
      <c r="J305" s="2">
        <v>0</v>
      </c>
      <c r="K305" s="1">
        <v>45292</v>
      </c>
      <c r="L305" s="2">
        <f>SUM(Tabla1[[#This Row],[Serv. Culturales Derecho Hab Publ]:[Soci Comedores Pensionados Jubl]])</f>
        <v>11103</v>
      </c>
    </row>
    <row r="306" spans="1:12" x14ac:dyDescent="0.3">
      <c r="A306" s="2">
        <v>2022</v>
      </c>
      <c r="B306" t="s">
        <v>55</v>
      </c>
      <c r="C306" s="2">
        <v>884</v>
      </c>
      <c r="D306" s="2">
        <v>3229</v>
      </c>
      <c r="E306" s="2">
        <v>26</v>
      </c>
      <c r="F306" s="2">
        <v>2235</v>
      </c>
      <c r="G306" s="2">
        <v>4505</v>
      </c>
      <c r="H306" s="2">
        <v>36</v>
      </c>
      <c r="I306" s="2">
        <v>21</v>
      </c>
      <c r="J306" s="2">
        <v>0</v>
      </c>
      <c r="K306" s="1">
        <v>44562</v>
      </c>
      <c r="L306" s="2">
        <f>SUM(Tabla1[[#This Row],[Serv. Culturales Derecho Hab Publ]:[Soci Comedores Pensionados Jubl]])</f>
        <v>10936</v>
      </c>
    </row>
    <row r="307" spans="1:12" x14ac:dyDescent="0.3">
      <c r="A307" s="2">
        <v>2023</v>
      </c>
      <c r="B307" t="s">
        <v>53</v>
      </c>
      <c r="C307" s="2">
        <v>357</v>
      </c>
      <c r="D307" s="2">
        <v>3255</v>
      </c>
      <c r="E307" s="2">
        <v>891</v>
      </c>
      <c r="F307" s="2">
        <v>4979</v>
      </c>
      <c r="G307" s="2">
        <v>362</v>
      </c>
      <c r="H307" s="2">
        <v>1025</v>
      </c>
      <c r="I307" s="2">
        <v>63</v>
      </c>
      <c r="J307" s="2">
        <v>0</v>
      </c>
      <c r="K307" s="1">
        <v>44927</v>
      </c>
      <c r="L307" s="2">
        <f>SUM(Tabla1[[#This Row],[Serv. Culturales Derecho Hab Publ]:[Soci Comedores Pensionados Jubl]])</f>
        <v>10932</v>
      </c>
    </row>
    <row r="308" spans="1:12" x14ac:dyDescent="0.3">
      <c r="A308" s="2">
        <v>2024</v>
      </c>
      <c r="B308" t="s">
        <v>57</v>
      </c>
      <c r="C308" s="2">
        <v>117</v>
      </c>
      <c r="D308" s="2">
        <v>3145</v>
      </c>
      <c r="E308" s="2">
        <v>0</v>
      </c>
      <c r="F308" s="2">
        <v>4859</v>
      </c>
      <c r="G308" s="2">
        <v>1042</v>
      </c>
      <c r="H308" s="2">
        <v>1748</v>
      </c>
      <c r="I308" s="2">
        <v>0</v>
      </c>
      <c r="J308" s="2">
        <v>0</v>
      </c>
      <c r="K308" s="1">
        <v>45292</v>
      </c>
      <c r="L308" s="2">
        <f>SUM(Tabla1[[#This Row],[Serv. Culturales Derecho Hab Publ]:[Soci Comedores Pensionados Jubl]])</f>
        <v>10911</v>
      </c>
    </row>
    <row r="309" spans="1:12" x14ac:dyDescent="0.3">
      <c r="A309" s="2">
        <v>2022</v>
      </c>
      <c r="B309" t="s">
        <v>52</v>
      </c>
      <c r="C309" s="2">
        <v>3142</v>
      </c>
      <c r="D309" s="2">
        <v>2663</v>
      </c>
      <c r="E309" s="2">
        <v>0</v>
      </c>
      <c r="F309" s="2">
        <v>2657</v>
      </c>
      <c r="G309" s="2">
        <v>723</v>
      </c>
      <c r="H309" s="2">
        <v>1299</v>
      </c>
      <c r="I309" s="2">
        <v>275</v>
      </c>
      <c r="J309" s="2">
        <v>0</v>
      </c>
      <c r="K309" s="1">
        <v>44562</v>
      </c>
      <c r="L309" s="2">
        <f>SUM(Tabla1[[#This Row],[Serv. Culturales Derecho Hab Publ]:[Soci Comedores Pensionados Jubl]])</f>
        <v>10759</v>
      </c>
    </row>
    <row r="310" spans="1:12" x14ac:dyDescent="0.3">
      <c r="A310" s="2">
        <v>2023</v>
      </c>
      <c r="B310" t="s">
        <v>52</v>
      </c>
      <c r="C310" s="2">
        <v>3275</v>
      </c>
      <c r="D310" s="2">
        <v>2662</v>
      </c>
      <c r="E310" s="2">
        <v>5</v>
      </c>
      <c r="F310" s="2">
        <v>2142</v>
      </c>
      <c r="G310" s="2">
        <v>639</v>
      </c>
      <c r="H310" s="2">
        <v>1532</v>
      </c>
      <c r="I310" s="2">
        <v>396</v>
      </c>
      <c r="J310" s="2">
        <v>0</v>
      </c>
      <c r="K310" s="1">
        <v>44927</v>
      </c>
      <c r="L310" s="2">
        <f>SUM(Tabla1[[#This Row],[Serv. Culturales Derecho Hab Publ]:[Soci Comedores Pensionados Jubl]])</f>
        <v>10651</v>
      </c>
    </row>
    <row r="311" spans="1:12" x14ac:dyDescent="0.3">
      <c r="A311" s="2">
        <v>2022</v>
      </c>
      <c r="B311" t="s">
        <v>6</v>
      </c>
      <c r="C311" s="2">
        <v>275</v>
      </c>
      <c r="D311" s="2">
        <v>3166</v>
      </c>
      <c r="E311" s="2">
        <v>0</v>
      </c>
      <c r="F311" s="2">
        <v>71</v>
      </c>
      <c r="G311" s="2">
        <v>5339</v>
      </c>
      <c r="H311" s="2">
        <v>1515</v>
      </c>
      <c r="I311" s="2">
        <v>102</v>
      </c>
      <c r="J311" s="2">
        <v>0</v>
      </c>
      <c r="K311" s="1">
        <v>44562</v>
      </c>
      <c r="L311" s="2">
        <f>SUM(Tabla1[[#This Row],[Serv. Culturales Derecho Hab Publ]:[Soci Comedores Pensionados Jubl]])</f>
        <v>10468</v>
      </c>
    </row>
    <row r="312" spans="1:12" x14ac:dyDescent="0.3">
      <c r="A312" s="2">
        <v>2016</v>
      </c>
      <c r="B312" t="s">
        <v>16</v>
      </c>
      <c r="C312" s="2">
        <v>8331</v>
      </c>
      <c r="D312" s="2">
        <v>0</v>
      </c>
      <c r="E312" s="2">
        <v>0</v>
      </c>
      <c r="F312" s="2">
        <v>0</v>
      </c>
      <c r="G312" s="2">
        <v>0</v>
      </c>
      <c r="H312" s="2">
        <v>1706</v>
      </c>
      <c r="I312" s="2">
        <v>228</v>
      </c>
      <c r="J312" s="2">
        <v>0</v>
      </c>
      <c r="K312" s="1">
        <v>42370</v>
      </c>
      <c r="L312" s="2">
        <f>SUM(Tabla1[[#This Row],[Serv. Culturales Derecho Hab Publ]:[Soci Comedores Pensionados Jubl]])</f>
        <v>10265</v>
      </c>
    </row>
    <row r="313" spans="1:12" x14ac:dyDescent="0.3">
      <c r="A313" s="2">
        <v>2021</v>
      </c>
      <c r="B313" t="s">
        <v>52</v>
      </c>
      <c r="C313" s="2">
        <v>1664</v>
      </c>
      <c r="D313" s="2">
        <v>1814</v>
      </c>
      <c r="E313" s="2">
        <v>0</v>
      </c>
      <c r="F313" s="2">
        <v>4670</v>
      </c>
      <c r="G313" s="2">
        <v>651</v>
      </c>
      <c r="H313" s="2">
        <v>445</v>
      </c>
      <c r="I313" s="2">
        <v>204</v>
      </c>
      <c r="J313" s="2">
        <v>0</v>
      </c>
      <c r="K313" s="1">
        <v>44197</v>
      </c>
      <c r="L313" s="2">
        <f>SUM(Tabla1[[#This Row],[Serv. Culturales Derecho Hab Publ]:[Soci Comedores Pensionados Jubl]])</f>
        <v>9448</v>
      </c>
    </row>
    <row r="314" spans="1:12" x14ac:dyDescent="0.3">
      <c r="A314" s="2">
        <v>2020</v>
      </c>
      <c r="B314" t="s">
        <v>9</v>
      </c>
      <c r="C314" s="2">
        <v>3320</v>
      </c>
      <c r="D314" s="2">
        <v>5334</v>
      </c>
      <c r="E314" s="2">
        <v>0</v>
      </c>
      <c r="F314" s="2">
        <v>8</v>
      </c>
      <c r="G314" s="2">
        <v>120</v>
      </c>
      <c r="H314" s="2">
        <v>420</v>
      </c>
      <c r="I314" s="2">
        <v>0</v>
      </c>
      <c r="J314" s="2">
        <v>0</v>
      </c>
      <c r="K314" s="1">
        <v>43831</v>
      </c>
      <c r="L314" s="2">
        <f>SUM(Tabla1[[#This Row],[Serv. Culturales Derecho Hab Publ]:[Soci Comedores Pensionados Jubl]])</f>
        <v>9202</v>
      </c>
    </row>
    <row r="315" spans="1:12" x14ac:dyDescent="0.3">
      <c r="A315" s="2">
        <v>2023</v>
      </c>
      <c r="B315" t="s">
        <v>46</v>
      </c>
      <c r="C315" s="2">
        <v>1934</v>
      </c>
      <c r="D315" s="2">
        <v>1408</v>
      </c>
      <c r="E315" s="2">
        <v>6</v>
      </c>
      <c r="F315" s="2">
        <v>1823</v>
      </c>
      <c r="G315" s="2">
        <v>2084</v>
      </c>
      <c r="H315" s="2">
        <v>1004</v>
      </c>
      <c r="I315" s="2">
        <v>566</v>
      </c>
      <c r="J315" s="2">
        <v>0</v>
      </c>
      <c r="K315" s="1">
        <v>44927</v>
      </c>
      <c r="L315" s="2">
        <f>SUM(Tabla1[[#This Row],[Serv. Culturales Derecho Hab Publ]:[Soci Comedores Pensionados Jubl]])</f>
        <v>8825</v>
      </c>
    </row>
    <row r="316" spans="1:12" x14ac:dyDescent="0.3">
      <c r="A316" s="2">
        <v>2024</v>
      </c>
      <c r="B316" t="s">
        <v>46</v>
      </c>
      <c r="C316" s="2">
        <v>1480</v>
      </c>
      <c r="D316" s="2">
        <v>1571</v>
      </c>
      <c r="E316" s="2">
        <v>694</v>
      </c>
      <c r="F316" s="2">
        <v>2294</v>
      </c>
      <c r="G316" s="2">
        <v>1286</v>
      </c>
      <c r="H316" s="2">
        <v>624</v>
      </c>
      <c r="I316" s="2">
        <v>380</v>
      </c>
      <c r="J316" s="2">
        <v>0</v>
      </c>
      <c r="K316" s="1">
        <v>45292</v>
      </c>
      <c r="L316" s="2">
        <f>SUM(Tabla1[[#This Row],[Serv. Culturales Derecho Hab Publ]:[Soci Comedores Pensionados Jubl]])</f>
        <v>8329</v>
      </c>
    </row>
    <row r="317" spans="1:12" x14ac:dyDescent="0.3">
      <c r="A317" s="2">
        <v>2020</v>
      </c>
      <c r="B317" t="s">
        <v>19</v>
      </c>
      <c r="C317" s="2">
        <v>705</v>
      </c>
      <c r="D317" s="2">
        <v>3671</v>
      </c>
      <c r="E317" s="2">
        <v>0</v>
      </c>
      <c r="F317" s="2">
        <v>182</v>
      </c>
      <c r="G317" s="2">
        <v>400</v>
      </c>
      <c r="H317" s="2">
        <v>2363</v>
      </c>
      <c r="I317" s="2">
        <v>800</v>
      </c>
      <c r="J317" s="2">
        <v>0</v>
      </c>
      <c r="K317" s="1">
        <v>43831</v>
      </c>
      <c r="L317" s="2">
        <f>SUM(Tabla1[[#This Row],[Serv. Culturales Derecho Hab Publ]:[Soci Comedores Pensionados Jubl]])</f>
        <v>8121</v>
      </c>
    </row>
    <row r="318" spans="1:12" x14ac:dyDescent="0.3">
      <c r="A318" s="2">
        <v>2020</v>
      </c>
      <c r="B318" t="s">
        <v>32</v>
      </c>
      <c r="C318" s="2">
        <v>2436</v>
      </c>
      <c r="D318" s="2">
        <v>3324</v>
      </c>
      <c r="E318" s="2">
        <v>0</v>
      </c>
      <c r="F318" s="2">
        <v>135</v>
      </c>
      <c r="G318" s="2">
        <v>417</v>
      </c>
      <c r="H318" s="2">
        <v>342</v>
      </c>
      <c r="I318" s="2">
        <v>417</v>
      </c>
      <c r="J318" s="2">
        <v>0</v>
      </c>
      <c r="K318" s="1">
        <v>43831</v>
      </c>
      <c r="L318" s="2">
        <f>SUM(Tabla1[[#This Row],[Serv. Culturales Derecho Hab Publ]:[Soci Comedores Pensionados Jubl]])</f>
        <v>7071</v>
      </c>
    </row>
    <row r="319" spans="1:12" x14ac:dyDescent="0.3">
      <c r="A319" s="2">
        <v>2020</v>
      </c>
      <c r="B319" t="s">
        <v>8</v>
      </c>
      <c r="C319" s="2">
        <v>347</v>
      </c>
      <c r="D319" s="2">
        <v>5275</v>
      </c>
      <c r="E319" s="2">
        <v>0</v>
      </c>
      <c r="F319" s="2">
        <v>142</v>
      </c>
      <c r="G319" s="2">
        <v>840</v>
      </c>
      <c r="H319" s="2">
        <v>425</v>
      </c>
      <c r="I319" s="2">
        <v>31</v>
      </c>
      <c r="J319" s="2">
        <v>0</v>
      </c>
      <c r="K319" s="1">
        <v>43831</v>
      </c>
      <c r="L319" s="2">
        <f>SUM(Tabla1[[#This Row],[Serv. Culturales Derecho Hab Publ]:[Soci Comedores Pensionados Jubl]])</f>
        <v>7060</v>
      </c>
    </row>
    <row r="320" spans="1:12" x14ac:dyDescent="0.3">
      <c r="A320" s="2">
        <v>2024</v>
      </c>
      <c r="B320" t="s">
        <v>17</v>
      </c>
      <c r="C320" s="2">
        <v>787</v>
      </c>
      <c r="D320" s="2">
        <v>1545</v>
      </c>
      <c r="E320" s="2">
        <v>0</v>
      </c>
      <c r="F320" s="2">
        <v>0</v>
      </c>
      <c r="G320" s="2">
        <v>2900</v>
      </c>
      <c r="H320" s="2">
        <v>1456</v>
      </c>
      <c r="I320" s="2">
        <v>207</v>
      </c>
      <c r="J320" s="2">
        <v>0</v>
      </c>
      <c r="K320" s="1">
        <v>45292</v>
      </c>
      <c r="L320" s="2">
        <f>SUM(Tabla1[[#This Row],[Serv. Culturales Derecho Hab Publ]:[Soci Comedores Pensionados Jubl]])</f>
        <v>6895</v>
      </c>
    </row>
    <row r="321" spans="1:12" x14ac:dyDescent="0.3">
      <c r="A321" s="2">
        <v>2022</v>
      </c>
      <c r="B321" t="s">
        <v>4</v>
      </c>
      <c r="C321" s="2">
        <v>177</v>
      </c>
      <c r="D321" s="2">
        <v>241</v>
      </c>
      <c r="E321" s="2">
        <v>0</v>
      </c>
      <c r="F321" s="2">
        <v>0</v>
      </c>
      <c r="G321" s="2">
        <v>3887</v>
      </c>
      <c r="H321" s="2">
        <v>2299</v>
      </c>
      <c r="I321" s="2">
        <v>121</v>
      </c>
      <c r="J321" s="2">
        <v>0</v>
      </c>
      <c r="K321" s="1">
        <v>44562</v>
      </c>
      <c r="L321" s="2">
        <f>SUM(Tabla1[[#This Row],[Serv. Culturales Derecho Hab Publ]:[Soci Comedores Pensionados Jubl]])</f>
        <v>6725</v>
      </c>
    </row>
    <row r="322" spans="1:12" x14ac:dyDescent="0.3">
      <c r="A322" s="2">
        <v>2022</v>
      </c>
      <c r="B322" t="s">
        <v>53</v>
      </c>
      <c r="C322" s="2">
        <v>71</v>
      </c>
      <c r="D322" s="2">
        <v>603</v>
      </c>
      <c r="E322" s="2">
        <v>312</v>
      </c>
      <c r="F322" s="2">
        <v>5550</v>
      </c>
      <c r="G322" s="2">
        <v>1</v>
      </c>
      <c r="H322" s="2">
        <v>0</v>
      </c>
      <c r="I322" s="2">
        <v>3</v>
      </c>
      <c r="J322" s="2">
        <v>0</v>
      </c>
      <c r="K322" s="1">
        <v>44562</v>
      </c>
      <c r="L322" s="2">
        <f>SUM(Tabla1[[#This Row],[Serv. Culturales Derecho Hab Publ]:[Soci Comedores Pensionados Jubl]])</f>
        <v>6540</v>
      </c>
    </row>
    <row r="323" spans="1:12" x14ac:dyDescent="0.3">
      <c r="A323" s="2">
        <v>2023</v>
      </c>
      <c r="B323" t="s">
        <v>47</v>
      </c>
      <c r="C323" s="2">
        <v>971</v>
      </c>
      <c r="D323" s="2">
        <v>2206</v>
      </c>
      <c r="E323" s="2">
        <v>1</v>
      </c>
      <c r="F323" s="2">
        <v>128</v>
      </c>
      <c r="G323" s="2">
        <v>957</v>
      </c>
      <c r="H323" s="2">
        <v>2197</v>
      </c>
      <c r="I323" s="2">
        <v>6</v>
      </c>
      <c r="J323" s="2">
        <v>0</v>
      </c>
      <c r="K323" s="1">
        <v>44927</v>
      </c>
      <c r="L323" s="2">
        <f>SUM(Tabla1[[#This Row],[Serv. Culturales Derecho Hab Publ]:[Soci Comedores Pensionados Jubl]])</f>
        <v>6466</v>
      </c>
    </row>
    <row r="324" spans="1:12" x14ac:dyDescent="0.3">
      <c r="A324" s="2">
        <v>2023</v>
      </c>
      <c r="B324" t="s">
        <v>51</v>
      </c>
      <c r="C324" s="2">
        <v>570</v>
      </c>
      <c r="D324" s="2">
        <v>985</v>
      </c>
      <c r="E324" s="2">
        <v>1</v>
      </c>
      <c r="F324" s="2">
        <v>66</v>
      </c>
      <c r="G324" s="2">
        <v>2891</v>
      </c>
      <c r="H324" s="2">
        <v>1697</v>
      </c>
      <c r="I324" s="2">
        <v>220</v>
      </c>
      <c r="J324" s="2">
        <v>0</v>
      </c>
      <c r="K324" s="1">
        <v>44927</v>
      </c>
      <c r="L324" s="2">
        <f>SUM(Tabla1[[#This Row],[Serv. Culturales Derecho Hab Publ]:[Soci Comedores Pensionados Jubl]])</f>
        <v>6430</v>
      </c>
    </row>
    <row r="325" spans="1:12" x14ac:dyDescent="0.3">
      <c r="A325" s="2">
        <v>2023</v>
      </c>
      <c r="B325" t="s">
        <v>17</v>
      </c>
      <c r="C325" s="2">
        <v>495</v>
      </c>
      <c r="D325" s="2">
        <v>1357</v>
      </c>
      <c r="E325" s="2">
        <v>0</v>
      </c>
      <c r="F325" s="2">
        <v>0</v>
      </c>
      <c r="G325" s="2">
        <v>2650</v>
      </c>
      <c r="H325" s="2">
        <v>1384</v>
      </c>
      <c r="I325" s="2">
        <v>473</v>
      </c>
      <c r="J325" s="2">
        <v>0</v>
      </c>
      <c r="K325" s="1">
        <v>44927</v>
      </c>
      <c r="L325" s="2">
        <f>SUM(Tabla1[[#This Row],[Serv. Culturales Derecho Hab Publ]:[Soci Comedores Pensionados Jubl]])</f>
        <v>6359</v>
      </c>
    </row>
    <row r="326" spans="1:12" x14ac:dyDescent="0.3">
      <c r="A326" s="2">
        <v>2024</v>
      </c>
      <c r="B326" t="s">
        <v>47</v>
      </c>
      <c r="C326" s="2">
        <v>771</v>
      </c>
      <c r="D326" s="2">
        <v>2157</v>
      </c>
      <c r="E326" s="2">
        <v>2</v>
      </c>
      <c r="F326" s="2">
        <v>120</v>
      </c>
      <c r="G326" s="2">
        <v>1081</v>
      </c>
      <c r="H326" s="2">
        <v>2180</v>
      </c>
      <c r="I326" s="2">
        <v>15</v>
      </c>
      <c r="J326" s="2">
        <v>0</v>
      </c>
      <c r="K326" s="1">
        <v>45292</v>
      </c>
      <c r="L326" s="2">
        <f>SUM(Tabla1[[#This Row],[Serv. Culturales Derecho Hab Publ]:[Soci Comedores Pensionados Jubl]])</f>
        <v>6326</v>
      </c>
    </row>
    <row r="327" spans="1:12" x14ac:dyDescent="0.3">
      <c r="A327" s="2">
        <v>2022</v>
      </c>
      <c r="B327" t="s">
        <v>47</v>
      </c>
      <c r="C327" s="2">
        <v>950</v>
      </c>
      <c r="D327" s="2">
        <v>1780</v>
      </c>
      <c r="E327" s="2">
        <v>2</v>
      </c>
      <c r="F327" s="2">
        <v>35</v>
      </c>
      <c r="G327" s="2">
        <v>1719</v>
      </c>
      <c r="H327" s="2">
        <v>1755</v>
      </c>
      <c r="I327" s="2">
        <v>12</v>
      </c>
      <c r="J327" s="2">
        <v>0</v>
      </c>
      <c r="K327" s="1">
        <v>44562</v>
      </c>
      <c r="L327" s="2">
        <f>SUM(Tabla1[[#This Row],[Serv. Culturales Derecho Hab Publ]:[Soci Comedores Pensionados Jubl]])</f>
        <v>6253</v>
      </c>
    </row>
    <row r="328" spans="1:12" x14ac:dyDescent="0.3">
      <c r="A328" s="2">
        <v>2023</v>
      </c>
      <c r="B328" t="s">
        <v>6</v>
      </c>
      <c r="C328" s="2">
        <v>180</v>
      </c>
      <c r="D328" s="2">
        <v>2926</v>
      </c>
      <c r="E328" s="2">
        <v>0</v>
      </c>
      <c r="F328" s="2">
        <v>41</v>
      </c>
      <c r="G328" s="2">
        <v>1347</v>
      </c>
      <c r="H328" s="2">
        <v>1496</v>
      </c>
      <c r="I328" s="2">
        <v>192</v>
      </c>
      <c r="J328" s="2">
        <v>0</v>
      </c>
      <c r="K328" s="1">
        <v>44927</v>
      </c>
      <c r="L328" s="2">
        <f>SUM(Tabla1[[#This Row],[Serv. Culturales Derecho Hab Publ]:[Soci Comedores Pensionados Jubl]])</f>
        <v>6182</v>
      </c>
    </row>
    <row r="329" spans="1:12" x14ac:dyDescent="0.3">
      <c r="A329" s="2">
        <v>2021</v>
      </c>
      <c r="B329" t="s">
        <v>55</v>
      </c>
      <c r="C329" s="2">
        <v>1363</v>
      </c>
      <c r="D329" s="2">
        <v>2117</v>
      </c>
      <c r="E329" s="2">
        <v>9</v>
      </c>
      <c r="F329" s="2">
        <v>41</v>
      </c>
      <c r="G329" s="2">
        <v>782</v>
      </c>
      <c r="H329" s="2">
        <v>1821</v>
      </c>
      <c r="I329" s="2">
        <v>22</v>
      </c>
      <c r="J329" s="2">
        <v>0</v>
      </c>
      <c r="K329" s="1">
        <v>44197</v>
      </c>
      <c r="L329" s="2">
        <f>SUM(Tabla1[[#This Row],[Serv. Culturales Derecho Hab Publ]:[Soci Comedores Pensionados Jubl]])</f>
        <v>6155</v>
      </c>
    </row>
    <row r="330" spans="1:12" x14ac:dyDescent="0.3">
      <c r="A330" s="2">
        <v>2020</v>
      </c>
      <c r="B330" t="s">
        <v>49</v>
      </c>
      <c r="C330" s="2">
        <v>1164</v>
      </c>
      <c r="D330" s="2">
        <v>2825</v>
      </c>
      <c r="E330" s="2">
        <v>0</v>
      </c>
      <c r="F330" s="2">
        <v>0</v>
      </c>
      <c r="G330" s="2">
        <v>369</v>
      </c>
      <c r="H330" s="2">
        <v>590</v>
      </c>
      <c r="I330" s="2">
        <v>951</v>
      </c>
      <c r="J330" s="2">
        <v>0</v>
      </c>
      <c r="K330" s="1">
        <v>43831</v>
      </c>
      <c r="L330" s="2">
        <f>SUM(Tabla1[[#This Row],[Serv. Culturales Derecho Hab Publ]:[Soci Comedores Pensionados Jubl]])</f>
        <v>5899</v>
      </c>
    </row>
    <row r="331" spans="1:12" x14ac:dyDescent="0.3">
      <c r="A331" s="2">
        <v>2023</v>
      </c>
      <c r="B331" t="s">
        <v>54</v>
      </c>
      <c r="C331" s="2">
        <v>9</v>
      </c>
      <c r="D331" s="2">
        <v>1956</v>
      </c>
      <c r="E331" s="2">
        <v>220</v>
      </c>
      <c r="F331" s="2">
        <v>21</v>
      </c>
      <c r="G331" s="2">
        <v>2464</v>
      </c>
      <c r="H331" s="2">
        <v>1131</v>
      </c>
      <c r="I331" s="2">
        <v>14</v>
      </c>
      <c r="J331" s="2">
        <v>0</v>
      </c>
      <c r="K331" s="1">
        <v>44927</v>
      </c>
      <c r="L331" s="2">
        <f>SUM(Tabla1[[#This Row],[Serv. Culturales Derecho Hab Publ]:[Soci Comedores Pensionados Jubl]])</f>
        <v>5815</v>
      </c>
    </row>
    <row r="332" spans="1:12" x14ac:dyDescent="0.3">
      <c r="A332" s="2">
        <v>2022</v>
      </c>
      <c r="B332" t="s">
        <v>17</v>
      </c>
      <c r="C332" s="2">
        <v>378</v>
      </c>
      <c r="D332" s="2">
        <v>793</v>
      </c>
      <c r="E332" s="2">
        <v>519</v>
      </c>
      <c r="F332" s="2">
        <v>0</v>
      </c>
      <c r="G332" s="2">
        <v>3177</v>
      </c>
      <c r="H332" s="2">
        <v>502</v>
      </c>
      <c r="I332" s="2">
        <v>444</v>
      </c>
      <c r="J332" s="2">
        <v>0</v>
      </c>
      <c r="K332" s="1">
        <v>44562</v>
      </c>
      <c r="L332" s="2">
        <f>SUM(Tabla1[[#This Row],[Serv. Culturales Derecho Hab Publ]:[Soci Comedores Pensionados Jubl]])</f>
        <v>5813</v>
      </c>
    </row>
    <row r="333" spans="1:12" x14ac:dyDescent="0.3">
      <c r="A333" s="2">
        <v>2024</v>
      </c>
      <c r="B333" t="s">
        <v>51</v>
      </c>
      <c r="C333" s="2">
        <v>380</v>
      </c>
      <c r="D333" s="2">
        <v>652</v>
      </c>
      <c r="E333" s="2">
        <v>29</v>
      </c>
      <c r="F333" s="2">
        <v>206</v>
      </c>
      <c r="G333" s="2">
        <v>2768</v>
      </c>
      <c r="H333" s="2">
        <v>1382</v>
      </c>
      <c r="I333" s="2">
        <v>352</v>
      </c>
      <c r="J333" s="2">
        <v>0</v>
      </c>
      <c r="K333" s="1">
        <v>45292</v>
      </c>
      <c r="L333" s="2">
        <f>SUM(Tabla1[[#This Row],[Serv. Culturales Derecho Hab Publ]:[Soci Comedores Pensionados Jubl]])</f>
        <v>5769</v>
      </c>
    </row>
    <row r="334" spans="1:12" x14ac:dyDescent="0.3">
      <c r="A334" s="2">
        <v>2022</v>
      </c>
      <c r="B334" t="s">
        <v>22</v>
      </c>
      <c r="C334" s="2">
        <v>546</v>
      </c>
      <c r="D334" s="2">
        <v>653</v>
      </c>
      <c r="E334" s="2">
        <v>134</v>
      </c>
      <c r="F334" s="2">
        <v>82</v>
      </c>
      <c r="G334" s="2">
        <v>3826</v>
      </c>
      <c r="H334" s="2">
        <v>431</v>
      </c>
      <c r="I334" s="2">
        <v>9</v>
      </c>
      <c r="J334" s="2">
        <v>0</v>
      </c>
      <c r="K334" s="1">
        <v>44562</v>
      </c>
      <c r="L334" s="2">
        <f>SUM(Tabla1[[#This Row],[Serv. Culturales Derecho Hab Publ]:[Soci Comedores Pensionados Jubl]])</f>
        <v>5681</v>
      </c>
    </row>
    <row r="335" spans="1:12" x14ac:dyDescent="0.3">
      <c r="A335" s="2">
        <v>2022</v>
      </c>
      <c r="B335" t="s">
        <v>51</v>
      </c>
      <c r="C335" s="2">
        <v>467</v>
      </c>
      <c r="D335" s="2">
        <v>719</v>
      </c>
      <c r="E335" s="2">
        <v>84</v>
      </c>
      <c r="F335" s="2">
        <v>234</v>
      </c>
      <c r="G335" s="2">
        <v>2344</v>
      </c>
      <c r="H335" s="2">
        <v>1524</v>
      </c>
      <c r="I335" s="2">
        <v>235</v>
      </c>
      <c r="J335" s="2">
        <v>0</v>
      </c>
      <c r="K335" s="1">
        <v>44562</v>
      </c>
      <c r="L335" s="2">
        <f>SUM(Tabla1[[#This Row],[Serv. Culturales Derecho Hab Publ]:[Soci Comedores Pensionados Jubl]])</f>
        <v>5607</v>
      </c>
    </row>
    <row r="336" spans="1:12" x14ac:dyDescent="0.3">
      <c r="A336" s="2">
        <v>2023</v>
      </c>
      <c r="B336" t="s">
        <v>55</v>
      </c>
      <c r="C336" s="2">
        <v>646</v>
      </c>
      <c r="D336" s="2">
        <v>1208</v>
      </c>
      <c r="E336" s="2">
        <v>0</v>
      </c>
      <c r="F336" s="2">
        <v>2012</v>
      </c>
      <c r="G336" s="2">
        <v>1445</v>
      </c>
      <c r="H336" s="2">
        <v>0</v>
      </c>
      <c r="I336" s="2">
        <v>0</v>
      </c>
      <c r="J336" s="2">
        <v>0</v>
      </c>
      <c r="K336" s="1">
        <v>44927</v>
      </c>
      <c r="L336" s="2">
        <f>SUM(Tabla1[[#This Row],[Serv. Culturales Derecho Hab Publ]:[Soci Comedores Pensionados Jubl]])</f>
        <v>5311</v>
      </c>
    </row>
    <row r="337" spans="1:12" x14ac:dyDescent="0.3">
      <c r="A337" s="2">
        <v>2021</v>
      </c>
      <c r="B337" t="s">
        <v>11</v>
      </c>
      <c r="C337" s="2">
        <v>245</v>
      </c>
      <c r="D337" s="2">
        <v>389</v>
      </c>
      <c r="E337" s="2">
        <v>0</v>
      </c>
      <c r="F337" s="2">
        <v>3750</v>
      </c>
      <c r="G337" s="2">
        <v>365</v>
      </c>
      <c r="H337" s="2">
        <v>367</v>
      </c>
      <c r="I337" s="2">
        <v>120</v>
      </c>
      <c r="J337" s="2">
        <v>0</v>
      </c>
      <c r="K337" s="1">
        <v>44197</v>
      </c>
      <c r="L337" s="2">
        <f>SUM(Tabla1[[#This Row],[Serv. Culturales Derecho Hab Publ]:[Soci Comedores Pensionados Jubl]])</f>
        <v>5236</v>
      </c>
    </row>
    <row r="338" spans="1:12" x14ac:dyDescent="0.3">
      <c r="A338" s="2">
        <v>2022</v>
      </c>
      <c r="B338" t="s">
        <v>24</v>
      </c>
      <c r="C338" s="2">
        <v>170</v>
      </c>
      <c r="D338" s="2">
        <v>4992</v>
      </c>
      <c r="E338" s="2">
        <v>0</v>
      </c>
      <c r="F338" s="2">
        <v>5</v>
      </c>
      <c r="G338" s="2">
        <v>0</v>
      </c>
      <c r="H338" s="2">
        <v>0</v>
      </c>
      <c r="I338" s="2">
        <v>53</v>
      </c>
      <c r="J338" s="2">
        <v>0</v>
      </c>
      <c r="K338" s="1">
        <v>44562</v>
      </c>
      <c r="L338" s="2">
        <f>SUM(Tabla1[[#This Row],[Serv. Culturales Derecho Hab Publ]:[Soci Comedores Pensionados Jubl]])</f>
        <v>5220</v>
      </c>
    </row>
    <row r="339" spans="1:12" x14ac:dyDescent="0.3">
      <c r="A339" s="2">
        <v>2021</v>
      </c>
      <c r="B339" t="s">
        <v>47</v>
      </c>
      <c r="C339" s="2">
        <v>830</v>
      </c>
      <c r="D339" s="2">
        <v>1794</v>
      </c>
      <c r="E339" s="2">
        <v>0</v>
      </c>
      <c r="F339" s="2">
        <v>58</v>
      </c>
      <c r="G339" s="2">
        <v>755</v>
      </c>
      <c r="H339" s="2">
        <v>1571</v>
      </c>
      <c r="I339" s="2">
        <v>1</v>
      </c>
      <c r="J339" s="2">
        <v>0</v>
      </c>
      <c r="K339" s="1">
        <v>44197</v>
      </c>
      <c r="L339" s="2">
        <f>SUM(Tabla1[[#This Row],[Serv. Culturales Derecho Hab Publ]:[Soci Comedores Pensionados Jubl]])</f>
        <v>5009</v>
      </c>
    </row>
    <row r="340" spans="1:12" x14ac:dyDescent="0.3">
      <c r="A340" s="2">
        <v>2024</v>
      </c>
      <c r="B340" t="s">
        <v>58</v>
      </c>
      <c r="C340" s="2">
        <v>86</v>
      </c>
      <c r="D340" s="2">
        <v>1710</v>
      </c>
      <c r="E340" s="2">
        <v>285</v>
      </c>
      <c r="F340" s="2">
        <v>38</v>
      </c>
      <c r="G340" s="2">
        <v>1732</v>
      </c>
      <c r="H340" s="2">
        <v>1093</v>
      </c>
      <c r="I340" s="2">
        <v>34</v>
      </c>
      <c r="J340" s="2">
        <v>0</v>
      </c>
      <c r="K340" s="1">
        <v>45292</v>
      </c>
      <c r="L340" s="2">
        <f>SUM(Tabla1[[#This Row],[Serv. Culturales Derecho Hab Publ]:[Soci Comedores Pensionados Jubl]])</f>
        <v>4978</v>
      </c>
    </row>
    <row r="341" spans="1:12" x14ac:dyDescent="0.3">
      <c r="A341" s="2">
        <v>2020</v>
      </c>
      <c r="B341" t="s">
        <v>18</v>
      </c>
      <c r="C341" s="2">
        <v>1295</v>
      </c>
      <c r="D341" s="2">
        <v>2139</v>
      </c>
      <c r="E341" s="2">
        <v>0</v>
      </c>
      <c r="F341" s="2">
        <v>0</v>
      </c>
      <c r="G341" s="2">
        <v>0</v>
      </c>
      <c r="H341" s="2">
        <v>1262</v>
      </c>
      <c r="I341" s="2">
        <v>152</v>
      </c>
      <c r="J341" s="2">
        <v>0</v>
      </c>
      <c r="K341" s="1">
        <v>43831</v>
      </c>
      <c r="L341" s="2">
        <f>SUM(Tabla1[[#This Row],[Serv. Culturales Derecho Hab Publ]:[Soci Comedores Pensionados Jubl]])</f>
        <v>4848</v>
      </c>
    </row>
    <row r="342" spans="1:12" x14ac:dyDescent="0.3">
      <c r="A342" s="2">
        <v>2025</v>
      </c>
      <c r="B342" t="s">
        <v>57</v>
      </c>
      <c r="C342" s="2">
        <v>722</v>
      </c>
      <c r="D342" s="2">
        <v>691</v>
      </c>
      <c r="E342" s="2">
        <v>0</v>
      </c>
      <c r="F342" s="2">
        <v>2393</v>
      </c>
      <c r="G342" s="2">
        <v>242</v>
      </c>
      <c r="H342" s="2">
        <v>451</v>
      </c>
      <c r="I342" s="2">
        <v>249</v>
      </c>
      <c r="J342" s="2">
        <v>0</v>
      </c>
      <c r="K342" s="1">
        <v>45658</v>
      </c>
      <c r="L342" s="2">
        <f>SUM(Tabla1[[#This Row],[Serv. Culturales Derecho Hab Publ]:[Soci Comedores Pensionados Jubl]])</f>
        <v>4748</v>
      </c>
    </row>
    <row r="343" spans="1:12" x14ac:dyDescent="0.3">
      <c r="A343" s="2">
        <v>2024</v>
      </c>
      <c r="B343" t="s">
        <v>10</v>
      </c>
      <c r="C343" s="2">
        <v>609</v>
      </c>
      <c r="D343" s="2">
        <v>756</v>
      </c>
      <c r="E343" s="2">
        <v>0</v>
      </c>
      <c r="F343" s="2">
        <v>20</v>
      </c>
      <c r="G343" s="2">
        <v>2989</v>
      </c>
      <c r="H343" s="2">
        <v>317</v>
      </c>
      <c r="I343" s="2">
        <v>12</v>
      </c>
      <c r="J343" s="2">
        <v>0</v>
      </c>
      <c r="K343" s="1">
        <v>45292</v>
      </c>
      <c r="L343" s="2">
        <f>SUM(Tabla1[[#This Row],[Serv. Culturales Derecho Hab Publ]:[Soci Comedores Pensionados Jubl]])</f>
        <v>4703</v>
      </c>
    </row>
    <row r="344" spans="1:12" x14ac:dyDescent="0.3">
      <c r="A344" s="2">
        <v>2024</v>
      </c>
      <c r="B344" t="s">
        <v>12</v>
      </c>
      <c r="C344" s="2">
        <v>238</v>
      </c>
      <c r="D344" s="2">
        <v>2013</v>
      </c>
      <c r="E344" s="2">
        <v>0</v>
      </c>
      <c r="F344" s="2">
        <v>37</v>
      </c>
      <c r="G344" s="2">
        <v>698</v>
      </c>
      <c r="H344" s="2">
        <v>862</v>
      </c>
      <c r="I344" s="2">
        <v>809</v>
      </c>
      <c r="J344" s="2">
        <v>0</v>
      </c>
      <c r="K344" s="1">
        <v>45292</v>
      </c>
      <c r="L344" s="2">
        <f>SUM(Tabla1[[#This Row],[Serv. Culturales Derecho Hab Publ]:[Soci Comedores Pensionados Jubl]])</f>
        <v>4657</v>
      </c>
    </row>
    <row r="345" spans="1:12" x14ac:dyDescent="0.3">
      <c r="A345" s="2">
        <v>2024</v>
      </c>
      <c r="B345" t="s">
        <v>2</v>
      </c>
      <c r="C345" s="2">
        <v>69</v>
      </c>
      <c r="D345" s="2">
        <v>1315</v>
      </c>
      <c r="E345" s="2">
        <v>19</v>
      </c>
      <c r="F345" s="2">
        <v>0</v>
      </c>
      <c r="G345" s="2">
        <v>1322</v>
      </c>
      <c r="H345" s="2">
        <v>1246</v>
      </c>
      <c r="I345" s="2">
        <v>443</v>
      </c>
      <c r="J345" s="2">
        <v>0</v>
      </c>
      <c r="K345" s="1">
        <v>45292</v>
      </c>
      <c r="L345" s="2">
        <f>SUM(Tabla1[[#This Row],[Serv. Culturales Derecho Hab Publ]:[Soci Comedores Pensionados Jubl]])</f>
        <v>4414</v>
      </c>
    </row>
    <row r="346" spans="1:12" x14ac:dyDescent="0.3">
      <c r="A346" s="2">
        <v>2022</v>
      </c>
      <c r="B346" t="s">
        <v>23</v>
      </c>
      <c r="C346" s="2">
        <v>420</v>
      </c>
      <c r="D346" s="2">
        <v>1525</v>
      </c>
      <c r="E346" s="2">
        <v>0</v>
      </c>
      <c r="F346" s="2">
        <v>0</v>
      </c>
      <c r="G346" s="2">
        <v>2452</v>
      </c>
      <c r="H346" s="2">
        <v>1</v>
      </c>
      <c r="I346" s="2">
        <v>0</v>
      </c>
      <c r="J346" s="2">
        <v>0</v>
      </c>
      <c r="K346" s="1">
        <v>44562</v>
      </c>
      <c r="L346" s="2">
        <f>SUM(Tabla1[[#This Row],[Serv. Culturales Derecho Hab Publ]:[Soci Comedores Pensionados Jubl]])</f>
        <v>4398</v>
      </c>
    </row>
    <row r="347" spans="1:12" x14ac:dyDescent="0.3">
      <c r="A347" s="2">
        <v>2025</v>
      </c>
      <c r="B347" t="s">
        <v>56</v>
      </c>
      <c r="C347" s="2">
        <v>1252</v>
      </c>
      <c r="D347" s="2">
        <v>1092</v>
      </c>
      <c r="E347" s="2">
        <v>0</v>
      </c>
      <c r="F347" s="2">
        <v>693</v>
      </c>
      <c r="G347" s="2">
        <v>372</v>
      </c>
      <c r="H347" s="2">
        <v>699</v>
      </c>
      <c r="I347" s="2">
        <v>166</v>
      </c>
      <c r="J347" s="2">
        <v>0</v>
      </c>
      <c r="K347" s="1">
        <v>45658</v>
      </c>
      <c r="L347" s="2">
        <f>SUM(Tabla1[[#This Row],[Serv. Culturales Derecho Hab Publ]:[Soci Comedores Pensionados Jubl]])</f>
        <v>4274</v>
      </c>
    </row>
    <row r="348" spans="1:12" x14ac:dyDescent="0.3">
      <c r="A348" s="2">
        <v>2023</v>
      </c>
      <c r="B348" t="s">
        <v>2</v>
      </c>
      <c r="C348" s="2">
        <v>101</v>
      </c>
      <c r="D348" s="2">
        <v>1260</v>
      </c>
      <c r="E348" s="2">
        <v>0</v>
      </c>
      <c r="F348" s="2">
        <v>0</v>
      </c>
      <c r="G348" s="2">
        <v>1294</v>
      </c>
      <c r="H348" s="2">
        <v>1254</v>
      </c>
      <c r="I348" s="2">
        <v>351</v>
      </c>
      <c r="J348" s="2">
        <v>0</v>
      </c>
      <c r="K348" s="1">
        <v>44927</v>
      </c>
      <c r="L348" s="2">
        <f>SUM(Tabla1[[#This Row],[Serv. Culturales Derecho Hab Publ]:[Soci Comedores Pensionados Jubl]])</f>
        <v>4260</v>
      </c>
    </row>
    <row r="349" spans="1:12" x14ac:dyDescent="0.3">
      <c r="A349" s="2">
        <v>2022</v>
      </c>
      <c r="B349" t="s">
        <v>10</v>
      </c>
      <c r="C349" s="2">
        <v>415</v>
      </c>
      <c r="D349" s="2">
        <v>626</v>
      </c>
      <c r="E349" s="2">
        <v>236</v>
      </c>
      <c r="F349" s="2">
        <v>49</v>
      </c>
      <c r="G349" s="2">
        <v>2666</v>
      </c>
      <c r="H349" s="2">
        <v>261</v>
      </c>
      <c r="I349" s="2">
        <v>5</v>
      </c>
      <c r="J349" s="2">
        <v>0</v>
      </c>
      <c r="K349" s="1">
        <v>44562</v>
      </c>
      <c r="L349" s="2">
        <f>SUM(Tabla1[[#This Row],[Serv. Culturales Derecho Hab Publ]:[Soci Comedores Pensionados Jubl]])</f>
        <v>4258</v>
      </c>
    </row>
    <row r="350" spans="1:12" x14ac:dyDescent="0.3">
      <c r="A350" s="2">
        <v>2023</v>
      </c>
      <c r="B350" t="s">
        <v>12</v>
      </c>
      <c r="C350" s="2">
        <v>596</v>
      </c>
      <c r="D350" s="2">
        <v>1901</v>
      </c>
      <c r="E350" s="2">
        <v>0</v>
      </c>
      <c r="F350" s="2">
        <v>41</v>
      </c>
      <c r="G350" s="2">
        <v>819</v>
      </c>
      <c r="H350" s="2">
        <v>720</v>
      </c>
      <c r="I350" s="2">
        <v>180</v>
      </c>
      <c r="J350" s="2">
        <v>0</v>
      </c>
      <c r="K350" s="1">
        <v>44927</v>
      </c>
      <c r="L350" s="2">
        <f>SUM(Tabla1[[#This Row],[Serv. Culturales Derecho Hab Publ]:[Soci Comedores Pensionados Jubl]])</f>
        <v>4257</v>
      </c>
    </row>
    <row r="351" spans="1:12" x14ac:dyDescent="0.3">
      <c r="A351" s="2">
        <v>2021</v>
      </c>
      <c r="B351" t="s">
        <v>54</v>
      </c>
      <c r="C351" s="2">
        <v>162</v>
      </c>
      <c r="D351" s="2">
        <v>685</v>
      </c>
      <c r="E351" s="2">
        <v>8</v>
      </c>
      <c r="F351" s="2">
        <v>1931</v>
      </c>
      <c r="G351" s="2">
        <v>1060</v>
      </c>
      <c r="H351" s="2">
        <v>403</v>
      </c>
      <c r="I351" s="2">
        <v>2</v>
      </c>
      <c r="J351" s="2">
        <v>0</v>
      </c>
      <c r="K351" s="1">
        <v>44197</v>
      </c>
      <c r="L351" s="2">
        <f>SUM(Tabla1[[#This Row],[Serv. Culturales Derecho Hab Publ]:[Soci Comedores Pensionados Jubl]])</f>
        <v>4251</v>
      </c>
    </row>
    <row r="352" spans="1:12" x14ac:dyDescent="0.3">
      <c r="A352" s="2">
        <v>2021</v>
      </c>
      <c r="B352" t="s">
        <v>6</v>
      </c>
      <c r="C352" s="2">
        <v>97</v>
      </c>
      <c r="D352" s="2">
        <v>1944</v>
      </c>
      <c r="E352" s="2">
        <v>0</v>
      </c>
      <c r="F352" s="2">
        <v>0</v>
      </c>
      <c r="G352" s="2">
        <v>1200</v>
      </c>
      <c r="H352" s="2">
        <v>877</v>
      </c>
      <c r="I352" s="2">
        <v>26</v>
      </c>
      <c r="J352" s="2">
        <v>0</v>
      </c>
      <c r="K352" s="1">
        <v>44197</v>
      </c>
      <c r="L352" s="2">
        <f>SUM(Tabla1[[#This Row],[Serv. Culturales Derecho Hab Publ]:[Soci Comedores Pensionados Jubl]])</f>
        <v>4144</v>
      </c>
    </row>
    <row r="353" spans="1:12" x14ac:dyDescent="0.3">
      <c r="A353" s="2">
        <v>2023</v>
      </c>
      <c r="B353" t="s">
        <v>10</v>
      </c>
      <c r="C353" s="2">
        <v>481</v>
      </c>
      <c r="D353" s="2">
        <v>638</v>
      </c>
      <c r="E353" s="2">
        <v>0</v>
      </c>
      <c r="F353" s="2">
        <v>33</v>
      </c>
      <c r="G353" s="2">
        <v>2660</v>
      </c>
      <c r="H353" s="2">
        <v>283</v>
      </c>
      <c r="I353" s="2">
        <v>3</v>
      </c>
      <c r="J353" s="2">
        <v>0</v>
      </c>
      <c r="K353" s="1">
        <v>44927</v>
      </c>
      <c r="L353" s="2">
        <f>SUM(Tabla1[[#This Row],[Serv. Culturales Derecho Hab Publ]:[Soci Comedores Pensionados Jubl]])</f>
        <v>4098</v>
      </c>
    </row>
    <row r="354" spans="1:12" x14ac:dyDescent="0.3">
      <c r="A354" s="2">
        <v>2022</v>
      </c>
      <c r="B354" t="s">
        <v>54</v>
      </c>
      <c r="C354" s="2">
        <v>5</v>
      </c>
      <c r="D354" s="2">
        <v>1070</v>
      </c>
      <c r="E354" s="2">
        <v>0</v>
      </c>
      <c r="F354" s="2">
        <v>41</v>
      </c>
      <c r="G354" s="2">
        <v>2223</v>
      </c>
      <c r="H354" s="2">
        <v>750</v>
      </c>
      <c r="I354" s="2">
        <v>4</v>
      </c>
      <c r="J354" s="2">
        <v>0</v>
      </c>
      <c r="K354" s="1">
        <v>44562</v>
      </c>
      <c r="L354" s="2">
        <f>SUM(Tabla1[[#This Row],[Serv. Culturales Derecho Hab Publ]:[Soci Comedores Pensionados Jubl]])</f>
        <v>4093</v>
      </c>
    </row>
    <row r="355" spans="1:12" x14ac:dyDescent="0.3">
      <c r="A355" s="2">
        <v>2022</v>
      </c>
      <c r="B355" t="s">
        <v>5</v>
      </c>
      <c r="C355" s="2">
        <v>110</v>
      </c>
      <c r="D355" s="2">
        <v>680</v>
      </c>
      <c r="E355" s="2">
        <v>0</v>
      </c>
      <c r="F355" s="2">
        <v>60</v>
      </c>
      <c r="G355" s="2">
        <v>1802</v>
      </c>
      <c r="H355" s="2">
        <v>623</v>
      </c>
      <c r="I355" s="2">
        <v>449</v>
      </c>
      <c r="J355" s="2">
        <v>0</v>
      </c>
      <c r="K355" s="1">
        <v>44562</v>
      </c>
      <c r="L355" s="2">
        <f>SUM(Tabla1[[#This Row],[Serv. Culturales Derecho Hab Publ]:[Soci Comedores Pensionados Jubl]])</f>
        <v>3724</v>
      </c>
    </row>
    <row r="356" spans="1:12" x14ac:dyDescent="0.3">
      <c r="A356" s="2">
        <v>2023</v>
      </c>
      <c r="B356" t="s">
        <v>24</v>
      </c>
      <c r="C356" s="2">
        <v>264</v>
      </c>
      <c r="D356" s="2">
        <v>3407</v>
      </c>
      <c r="E356" s="2">
        <v>0</v>
      </c>
      <c r="F356" s="2">
        <v>3</v>
      </c>
      <c r="G356" s="2">
        <v>0</v>
      </c>
      <c r="H356" s="2">
        <v>1</v>
      </c>
      <c r="I356" s="2">
        <v>14</v>
      </c>
      <c r="J356" s="2">
        <v>0</v>
      </c>
      <c r="K356" s="1">
        <v>44927</v>
      </c>
      <c r="L356" s="2">
        <f>SUM(Tabla1[[#This Row],[Serv. Culturales Derecho Hab Publ]:[Soci Comedores Pensionados Jubl]])</f>
        <v>3689</v>
      </c>
    </row>
    <row r="357" spans="1:12" x14ac:dyDescent="0.3">
      <c r="A357" s="2">
        <v>2023</v>
      </c>
      <c r="B357" t="s">
        <v>5</v>
      </c>
      <c r="C357" s="2">
        <v>179</v>
      </c>
      <c r="D357" s="2">
        <v>651</v>
      </c>
      <c r="E357" s="2">
        <v>0</v>
      </c>
      <c r="F357" s="2">
        <v>51</v>
      </c>
      <c r="G357" s="2">
        <v>1711</v>
      </c>
      <c r="H357" s="2">
        <v>558</v>
      </c>
      <c r="I357" s="2">
        <v>536</v>
      </c>
      <c r="J357" s="2">
        <v>0</v>
      </c>
      <c r="K357" s="1">
        <v>44927</v>
      </c>
      <c r="L357" s="2">
        <f>SUM(Tabla1[[#This Row],[Serv. Culturales Derecho Hab Publ]:[Soci Comedores Pensionados Jubl]])</f>
        <v>3686</v>
      </c>
    </row>
    <row r="358" spans="1:12" x14ac:dyDescent="0.3">
      <c r="A358" s="2">
        <v>2021</v>
      </c>
      <c r="B358" t="s">
        <v>5</v>
      </c>
      <c r="C358" s="2">
        <v>34</v>
      </c>
      <c r="D358" s="2">
        <v>551</v>
      </c>
      <c r="E358" s="2">
        <v>0</v>
      </c>
      <c r="F358" s="2">
        <v>12</v>
      </c>
      <c r="G358" s="2">
        <v>1820</v>
      </c>
      <c r="H358" s="2">
        <v>752</v>
      </c>
      <c r="I358" s="2">
        <v>504</v>
      </c>
      <c r="J358" s="2">
        <v>0</v>
      </c>
      <c r="K358" s="1">
        <v>44197</v>
      </c>
      <c r="L358" s="2">
        <f>SUM(Tabla1[[#This Row],[Serv. Culturales Derecho Hab Publ]:[Soci Comedores Pensionados Jubl]])</f>
        <v>3673</v>
      </c>
    </row>
    <row r="359" spans="1:12" x14ac:dyDescent="0.3">
      <c r="A359" s="2">
        <v>2023</v>
      </c>
      <c r="B359" t="s">
        <v>0</v>
      </c>
      <c r="C359" s="2">
        <v>783</v>
      </c>
      <c r="D359" s="2">
        <v>1632</v>
      </c>
      <c r="E359" s="2">
        <v>28</v>
      </c>
      <c r="F359" s="2">
        <v>5</v>
      </c>
      <c r="G359" s="2">
        <v>195</v>
      </c>
      <c r="H359" s="2">
        <v>735</v>
      </c>
      <c r="I359" s="2">
        <v>164</v>
      </c>
      <c r="J359" s="2">
        <v>0</v>
      </c>
      <c r="K359" s="1">
        <v>44927</v>
      </c>
      <c r="L359" s="2">
        <f>SUM(Tabla1[[#This Row],[Serv. Culturales Derecho Hab Publ]:[Soci Comedores Pensionados Jubl]])</f>
        <v>3542</v>
      </c>
    </row>
    <row r="360" spans="1:12" x14ac:dyDescent="0.3">
      <c r="A360" s="2">
        <v>2024</v>
      </c>
      <c r="B360" t="s">
        <v>22</v>
      </c>
      <c r="C360" s="2">
        <v>162</v>
      </c>
      <c r="D360" s="2">
        <v>742</v>
      </c>
      <c r="E360" s="2">
        <v>1</v>
      </c>
      <c r="F360" s="2">
        <v>111</v>
      </c>
      <c r="G360" s="2">
        <v>1014</v>
      </c>
      <c r="H360" s="2">
        <v>1122</v>
      </c>
      <c r="I360" s="2">
        <v>257</v>
      </c>
      <c r="J360" s="2">
        <v>0</v>
      </c>
      <c r="K360" s="1">
        <v>45292</v>
      </c>
      <c r="L360" s="2">
        <f>SUM(Tabla1[[#This Row],[Serv. Culturales Derecho Hab Publ]:[Soci Comedores Pensionados Jubl]])</f>
        <v>3409</v>
      </c>
    </row>
    <row r="361" spans="1:12" x14ac:dyDescent="0.3">
      <c r="A361" s="2">
        <v>2024</v>
      </c>
      <c r="B361" t="s">
        <v>59</v>
      </c>
      <c r="C361" s="2">
        <v>85</v>
      </c>
      <c r="D361" s="2">
        <v>271</v>
      </c>
      <c r="E361" s="2">
        <v>0</v>
      </c>
      <c r="F361" s="2">
        <v>2083</v>
      </c>
      <c r="G361" s="2">
        <v>950</v>
      </c>
      <c r="H361" s="2">
        <v>0</v>
      </c>
      <c r="I361" s="2">
        <v>0</v>
      </c>
      <c r="J361" s="2">
        <v>0</v>
      </c>
      <c r="K361" s="1">
        <v>45292</v>
      </c>
      <c r="L361" s="2">
        <f>SUM(Tabla1[[#This Row],[Serv. Culturales Derecho Hab Publ]:[Soci Comedores Pensionados Jubl]])</f>
        <v>3389</v>
      </c>
    </row>
    <row r="362" spans="1:12" x14ac:dyDescent="0.3">
      <c r="A362" s="2">
        <v>2024</v>
      </c>
      <c r="B362" t="s">
        <v>0</v>
      </c>
      <c r="C362" s="2">
        <v>846</v>
      </c>
      <c r="D362" s="2">
        <v>1259</v>
      </c>
      <c r="E362" s="2">
        <v>0</v>
      </c>
      <c r="F362" s="2">
        <v>28</v>
      </c>
      <c r="G362" s="2">
        <v>174</v>
      </c>
      <c r="H362" s="2">
        <v>911</v>
      </c>
      <c r="I362" s="2">
        <v>162</v>
      </c>
      <c r="J362" s="2">
        <v>0</v>
      </c>
      <c r="K362" s="1">
        <v>45292</v>
      </c>
      <c r="L362" s="2">
        <f>SUM(Tabla1[[#This Row],[Serv. Culturales Derecho Hab Publ]:[Soci Comedores Pensionados Jubl]])</f>
        <v>3380</v>
      </c>
    </row>
    <row r="363" spans="1:12" x14ac:dyDescent="0.3">
      <c r="A363" s="2">
        <v>2022</v>
      </c>
      <c r="B363" t="s">
        <v>12</v>
      </c>
      <c r="C363" s="2">
        <v>580</v>
      </c>
      <c r="D363" s="2">
        <v>1333</v>
      </c>
      <c r="E363" s="2">
        <v>0</v>
      </c>
      <c r="F363" s="2">
        <v>48</v>
      </c>
      <c r="G363" s="2">
        <v>734</v>
      </c>
      <c r="H363" s="2">
        <v>657</v>
      </c>
      <c r="I363" s="2">
        <v>1</v>
      </c>
      <c r="J363" s="2">
        <v>0</v>
      </c>
      <c r="K363" s="1">
        <v>44562</v>
      </c>
      <c r="L363" s="2">
        <f>SUM(Tabla1[[#This Row],[Serv. Culturales Derecho Hab Publ]:[Soci Comedores Pensionados Jubl]])</f>
        <v>3353</v>
      </c>
    </row>
    <row r="364" spans="1:12" x14ac:dyDescent="0.3">
      <c r="A364" s="2">
        <v>2024</v>
      </c>
      <c r="B364" t="s">
        <v>5</v>
      </c>
      <c r="C364" s="2">
        <v>170</v>
      </c>
      <c r="D364" s="2">
        <v>726</v>
      </c>
      <c r="E364" s="2">
        <v>0</v>
      </c>
      <c r="F364" s="2">
        <v>0</v>
      </c>
      <c r="G364" s="2">
        <v>1450</v>
      </c>
      <c r="H364" s="2">
        <v>370</v>
      </c>
      <c r="I364" s="2">
        <v>595</v>
      </c>
      <c r="J364" s="2">
        <v>0</v>
      </c>
      <c r="K364" s="1">
        <v>45292</v>
      </c>
      <c r="L364" s="2">
        <f>SUM(Tabla1[[#This Row],[Serv. Culturales Derecho Hab Publ]:[Soci Comedores Pensionados Jubl]])</f>
        <v>3311</v>
      </c>
    </row>
    <row r="365" spans="1:12" x14ac:dyDescent="0.3">
      <c r="A365" s="2">
        <v>2024</v>
      </c>
      <c r="B365" t="s">
        <v>23</v>
      </c>
      <c r="C365" s="2">
        <v>224</v>
      </c>
      <c r="D365" s="2">
        <v>1071</v>
      </c>
      <c r="E365" s="2">
        <v>0</v>
      </c>
      <c r="F365" s="2">
        <v>0</v>
      </c>
      <c r="G365" s="2">
        <v>1865</v>
      </c>
      <c r="H365" s="2">
        <v>0</v>
      </c>
      <c r="I365" s="2">
        <v>0</v>
      </c>
      <c r="J365" s="2">
        <v>0</v>
      </c>
      <c r="K365" s="1">
        <v>45292</v>
      </c>
      <c r="L365" s="2">
        <f>SUM(Tabla1[[#This Row],[Serv. Culturales Derecho Hab Publ]:[Soci Comedores Pensionados Jubl]])</f>
        <v>3160</v>
      </c>
    </row>
    <row r="366" spans="1:12" x14ac:dyDescent="0.3">
      <c r="A366" s="2">
        <v>2021</v>
      </c>
      <c r="B366" t="s">
        <v>12</v>
      </c>
      <c r="C366" s="2">
        <v>603</v>
      </c>
      <c r="D366" s="2">
        <v>668</v>
      </c>
      <c r="E366" s="2">
        <v>0</v>
      </c>
      <c r="F366" s="2">
        <v>108</v>
      </c>
      <c r="G366" s="2">
        <v>1192</v>
      </c>
      <c r="H366" s="2">
        <v>563</v>
      </c>
      <c r="I366" s="2">
        <v>1</v>
      </c>
      <c r="J366" s="2">
        <v>0</v>
      </c>
      <c r="K366" s="1">
        <v>44197</v>
      </c>
      <c r="L366" s="2">
        <f>SUM(Tabla1[[#This Row],[Serv. Culturales Derecho Hab Publ]:[Soci Comedores Pensionados Jubl]])</f>
        <v>3135</v>
      </c>
    </row>
    <row r="367" spans="1:12" x14ac:dyDescent="0.3">
      <c r="A367" s="2">
        <v>2023</v>
      </c>
      <c r="B367" t="s">
        <v>22</v>
      </c>
      <c r="C367" s="2">
        <v>203</v>
      </c>
      <c r="D367" s="2">
        <v>556</v>
      </c>
      <c r="E367" s="2">
        <v>0</v>
      </c>
      <c r="F367" s="2">
        <v>82</v>
      </c>
      <c r="G367" s="2">
        <v>841</v>
      </c>
      <c r="H367" s="2">
        <v>1052</v>
      </c>
      <c r="I367" s="2">
        <v>354</v>
      </c>
      <c r="J367" s="2">
        <v>0</v>
      </c>
      <c r="K367" s="1">
        <v>44927</v>
      </c>
      <c r="L367" s="2">
        <f>SUM(Tabla1[[#This Row],[Serv. Culturales Derecho Hab Publ]:[Soci Comedores Pensionados Jubl]])</f>
        <v>3088</v>
      </c>
    </row>
    <row r="368" spans="1:12" x14ac:dyDescent="0.3">
      <c r="A368" s="2">
        <v>2020</v>
      </c>
      <c r="B368" t="s">
        <v>17</v>
      </c>
      <c r="C368" s="2">
        <v>103</v>
      </c>
      <c r="D368" s="2">
        <v>2271</v>
      </c>
      <c r="E368" s="2">
        <v>0</v>
      </c>
      <c r="F368" s="2">
        <v>0</v>
      </c>
      <c r="G368" s="2">
        <v>374</v>
      </c>
      <c r="H368" s="2">
        <v>57</v>
      </c>
      <c r="I368" s="2">
        <v>189</v>
      </c>
      <c r="J368" s="2">
        <v>0</v>
      </c>
      <c r="K368" s="1">
        <v>43831</v>
      </c>
      <c r="L368" s="2">
        <f>SUM(Tabla1[[#This Row],[Serv. Culturales Derecho Hab Publ]:[Soci Comedores Pensionados Jubl]])</f>
        <v>2994</v>
      </c>
    </row>
    <row r="369" spans="1:12" x14ac:dyDescent="0.3">
      <c r="A369" s="2">
        <v>2023</v>
      </c>
      <c r="B369" t="s">
        <v>4</v>
      </c>
      <c r="C369" s="2">
        <v>333</v>
      </c>
      <c r="D369" s="2">
        <v>422</v>
      </c>
      <c r="E369" s="2">
        <v>0</v>
      </c>
      <c r="F369" s="2">
        <v>0</v>
      </c>
      <c r="G369" s="2">
        <v>1133</v>
      </c>
      <c r="H369" s="2">
        <v>800</v>
      </c>
      <c r="I369" s="2">
        <v>269</v>
      </c>
      <c r="J369" s="2">
        <v>0</v>
      </c>
      <c r="K369" s="1">
        <v>44927</v>
      </c>
      <c r="L369" s="2">
        <f>SUM(Tabla1[[#This Row],[Serv. Culturales Derecho Hab Publ]:[Soci Comedores Pensionados Jubl]])</f>
        <v>2957</v>
      </c>
    </row>
    <row r="370" spans="1:12" x14ac:dyDescent="0.3">
      <c r="A370" s="2">
        <v>2021</v>
      </c>
      <c r="B370" t="s">
        <v>51</v>
      </c>
      <c r="C370" s="2">
        <v>211</v>
      </c>
      <c r="D370" s="2">
        <v>187</v>
      </c>
      <c r="E370" s="2">
        <v>34</v>
      </c>
      <c r="F370" s="2">
        <v>160</v>
      </c>
      <c r="G370" s="2">
        <v>1401</v>
      </c>
      <c r="H370" s="2">
        <v>938</v>
      </c>
      <c r="I370" s="2">
        <v>25</v>
      </c>
      <c r="J370" s="2">
        <v>0</v>
      </c>
      <c r="K370" s="1">
        <v>44197</v>
      </c>
      <c r="L370" s="2">
        <f>SUM(Tabla1[[#This Row],[Serv. Culturales Derecho Hab Publ]:[Soci Comedores Pensionados Jubl]])</f>
        <v>2956</v>
      </c>
    </row>
    <row r="371" spans="1:12" x14ac:dyDescent="0.3">
      <c r="A371" s="2">
        <v>2024</v>
      </c>
      <c r="B371" t="s">
        <v>4</v>
      </c>
      <c r="C371" s="2">
        <v>311</v>
      </c>
      <c r="D371" s="2">
        <v>420</v>
      </c>
      <c r="E371" s="2">
        <v>0</v>
      </c>
      <c r="F371" s="2">
        <v>0</v>
      </c>
      <c r="G371" s="2">
        <v>1177</v>
      </c>
      <c r="H371" s="2">
        <v>822</v>
      </c>
      <c r="I371" s="2">
        <v>210</v>
      </c>
      <c r="J371" s="2">
        <v>0</v>
      </c>
      <c r="K371" s="1">
        <v>45292</v>
      </c>
      <c r="L371" s="2">
        <f>SUM(Tabla1[[#This Row],[Serv. Culturales Derecho Hab Publ]:[Soci Comedores Pensionados Jubl]])</f>
        <v>2940</v>
      </c>
    </row>
    <row r="372" spans="1:12" x14ac:dyDescent="0.3">
      <c r="A372" s="2">
        <v>2022</v>
      </c>
      <c r="B372" t="s">
        <v>8</v>
      </c>
      <c r="C372" s="2">
        <v>159</v>
      </c>
      <c r="D372" s="2">
        <v>719</v>
      </c>
      <c r="E372" s="2">
        <v>603</v>
      </c>
      <c r="F372" s="2">
        <v>13</v>
      </c>
      <c r="G372" s="2">
        <v>1089</v>
      </c>
      <c r="H372" s="2">
        <v>267</v>
      </c>
      <c r="I372" s="2">
        <v>38</v>
      </c>
      <c r="J372" s="2">
        <v>0</v>
      </c>
      <c r="K372" s="1">
        <v>44562</v>
      </c>
      <c r="L372" s="2">
        <f>SUM(Tabla1[[#This Row],[Serv. Culturales Derecho Hab Publ]:[Soci Comedores Pensionados Jubl]])</f>
        <v>2888</v>
      </c>
    </row>
    <row r="373" spans="1:12" x14ac:dyDescent="0.3">
      <c r="A373" s="2">
        <v>2022</v>
      </c>
      <c r="B373" t="s">
        <v>0</v>
      </c>
      <c r="C373" s="2">
        <v>1374</v>
      </c>
      <c r="D373" s="2">
        <v>959</v>
      </c>
      <c r="E373" s="2">
        <v>0</v>
      </c>
      <c r="F373" s="2">
        <v>23</v>
      </c>
      <c r="G373" s="2">
        <v>47</v>
      </c>
      <c r="H373" s="2">
        <v>407</v>
      </c>
      <c r="I373" s="2">
        <v>66</v>
      </c>
      <c r="J373" s="2">
        <v>0</v>
      </c>
      <c r="K373" s="1">
        <v>44562</v>
      </c>
      <c r="L373" s="2">
        <f>SUM(Tabla1[[#This Row],[Serv. Culturales Derecho Hab Publ]:[Soci Comedores Pensionados Jubl]])</f>
        <v>2876</v>
      </c>
    </row>
    <row r="374" spans="1:12" x14ac:dyDescent="0.3">
      <c r="A374" s="2">
        <v>2021</v>
      </c>
      <c r="B374" t="s">
        <v>53</v>
      </c>
      <c r="C374" s="2">
        <v>170</v>
      </c>
      <c r="D374" s="2">
        <v>127</v>
      </c>
      <c r="E374" s="2">
        <v>72</v>
      </c>
      <c r="F374" s="2">
        <v>2489</v>
      </c>
      <c r="G374" s="2">
        <v>0</v>
      </c>
      <c r="H374" s="2">
        <v>0</v>
      </c>
      <c r="I374" s="2">
        <v>0</v>
      </c>
      <c r="J374" s="2">
        <v>0</v>
      </c>
      <c r="K374" s="1">
        <v>44197</v>
      </c>
      <c r="L374" s="2">
        <f>SUM(Tabla1[[#This Row],[Serv. Culturales Derecho Hab Publ]:[Soci Comedores Pensionados Jubl]])</f>
        <v>2858</v>
      </c>
    </row>
    <row r="375" spans="1:12" x14ac:dyDescent="0.3">
      <c r="A375" s="2">
        <v>2021</v>
      </c>
      <c r="B375" t="s">
        <v>4</v>
      </c>
      <c r="C375" s="2">
        <v>116</v>
      </c>
      <c r="D375" s="2">
        <v>176</v>
      </c>
      <c r="E375" s="2">
        <v>0</v>
      </c>
      <c r="F375" s="2">
        <v>105</v>
      </c>
      <c r="G375" s="2">
        <v>1778</v>
      </c>
      <c r="H375" s="2">
        <v>626</v>
      </c>
      <c r="I375" s="2">
        <v>4</v>
      </c>
      <c r="J375" s="2">
        <v>0</v>
      </c>
      <c r="K375" s="1">
        <v>44197</v>
      </c>
      <c r="L375" s="2">
        <f>SUM(Tabla1[[#This Row],[Serv. Culturales Derecho Hab Publ]:[Soci Comedores Pensionados Jubl]])</f>
        <v>2805</v>
      </c>
    </row>
    <row r="376" spans="1:12" x14ac:dyDescent="0.3">
      <c r="A376" s="2">
        <v>2023</v>
      </c>
      <c r="B376" t="s">
        <v>23</v>
      </c>
      <c r="C376" s="2">
        <v>422</v>
      </c>
      <c r="D376" s="2">
        <v>767</v>
      </c>
      <c r="E376" s="2">
        <v>0</v>
      </c>
      <c r="F376" s="2">
        <v>0</v>
      </c>
      <c r="G376" s="2">
        <v>1403</v>
      </c>
      <c r="H376" s="2">
        <v>69</v>
      </c>
      <c r="I376" s="2">
        <v>0</v>
      </c>
      <c r="J376" s="2">
        <v>0</v>
      </c>
      <c r="K376" s="1">
        <v>44927</v>
      </c>
      <c r="L376" s="2">
        <f>SUM(Tabla1[[#This Row],[Serv. Culturales Derecho Hab Publ]:[Soci Comedores Pensionados Jubl]])</f>
        <v>2661</v>
      </c>
    </row>
    <row r="377" spans="1:12" x14ac:dyDescent="0.3">
      <c r="A377" s="2">
        <v>2022</v>
      </c>
      <c r="B377" t="s">
        <v>2</v>
      </c>
      <c r="C377" s="2">
        <v>42</v>
      </c>
      <c r="D377" s="2">
        <v>763</v>
      </c>
      <c r="E377" s="2">
        <v>9</v>
      </c>
      <c r="F377" s="2">
        <v>0</v>
      </c>
      <c r="G377" s="2">
        <v>713</v>
      </c>
      <c r="H377" s="2">
        <v>814</v>
      </c>
      <c r="I377" s="2">
        <v>255</v>
      </c>
      <c r="J377" s="2">
        <v>0</v>
      </c>
      <c r="K377" s="1">
        <v>44562</v>
      </c>
      <c r="L377" s="2">
        <f>SUM(Tabla1[[#This Row],[Serv. Culturales Derecho Hab Publ]:[Soci Comedores Pensionados Jubl]])</f>
        <v>2596</v>
      </c>
    </row>
    <row r="378" spans="1:12" x14ac:dyDescent="0.3">
      <c r="A378" s="2">
        <v>2021</v>
      </c>
      <c r="B378" t="s">
        <v>2</v>
      </c>
      <c r="C378" s="2">
        <v>13</v>
      </c>
      <c r="D378" s="2">
        <v>143</v>
      </c>
      <c r="E378" s="2">
        <v>5</v>
      </c>
      <c r="F378" s="2">
        <v>0</v>
      </c>
      <c r="G378" s="2">
        <v>902</v>
      </c>
      <c r="H378" s="2">
        <v>1168</v>
      </c>
      <c r="I378" s="2">
        <v>263</v>
      </c>
      <c r="J378" s="2">
        <v>0</v>
      </c>
      <c r="K378" s="1">
        <v>44197</v>
      </c>
      <c r="L378" s="2">
        <f>SUM(Tabla1[[#This Row],[Serv. Culturales Derecho Hab Publ]:[Soci Comedores Pensionados Jubl]])</f>
        <v>2494</v>
      </c>
    </row>
    <row r="379" spans="1:12" x14ac:dyDescent="0.3">
      <c r="A379" s="2">
        <v>2021</v>
      </c>
      <c r="B379" t="s">
        <v>10</v>
      </c>
      <c r="C379" s="2">
        <v>208</v>
      </c>
      <c r="D379" s="2">
        <v>884</v>
      </c>
      <c r="E379" s="2">
        <v>3</v>
      </c>
      <c r="F379" s="2">
        <v>285</v>
      </c>
      <c r="G379" s="2">
        <v>955</v>
      </c>
      <c r="H379" s="2">
        <v>139</v>
      </c>
      <c r="I379" s="2">
        <v>1</v>
      </c>
      <c r="J379" s="2">
        <v>0</v>
      </c>
      <c r="K379" s="1">
        <v>44197</v>
      </c>
      <c r="L379" s="2">
        <f>SUM(Tabla1[[#This Row],[Serv. Culturales Derecho Hab Publ]:[Soci Comedores Pensionados Jubl]])</f>
        <v>2475</v>
      </c>
    </row>
    <row r="380" spans="1:12" x14ac:dyDescent="0.3">
      <c r="A380" s="2">
        <v>2024</v>
      </c>
      <c r="B380" t="s">
        <v>15</v>
      </c>
      <c r="C380" s="2">
        <v>260</v>
      </c>
      <c r="D380" s="2">
        <v>674</v>
      </c>
      <c r="E380" s="2">
        <v>0</v>
      </c>
      <c r="F380" s="2">
        <v>0</v>
      </c>
      <c r="G380" s="2">
        <v>1302</v>
      </c>
      <c r="H380" s="2">
        <v>137</v>
      </c>
      <c r="I380" s="2">
        <v>1</v>
      </c>
      <c r="J380" s="2">
        <v>0</v>
      </c>
      <c r="K380" s="1">
        <v>45292</v>
      </c>
      <c r="L380" s="2">
        <f>SUM(Tabla1[[#This Row],[Serv. Culturales Derecho Hab Publ]:[Soci Comedores Pensionados Jubl]])</f>
        <v>2374</v>
      </c>
    </row>
    <row r="381" spans="1:12" x14ac:dyDescent="0.3">
      <c r="A381" s="2">
        <v>2022</v>
      </c>
      <c r="B381" t="s">
        <v>48</v>
      </c>
      <c r="C381" s="2">
        <v>242</v>
      </c>
      <c r="D381" s="2">
        <v>567</v>
      </c>
      <c r="E381" s="2">
        <v>0</v>
      </c>
      <c r="F381" s="2">
        <v>688</v>
      </c>
      <c r="G381" s="2">
        <v>366</v>
      </c>
      <c r="H381" s="2">
        <v>421</v>
      </c>
      <c r="I381" s="2">
        <v>0</v>
      </c>
      <c r="J381" s="2">
        <v>0</v>
      </c>
      <c r="K381" s="1">
        <v>44562</v>
      </c>
      <c r="L381" s="2">
        <f>SUM(Tabla1[[#This Row],[Serv. Culturales Derecho Hab Publ]:[Soci Comedores Pensionados Jubl]])</f>
        <v>2284</v>
      </c>
    </row>
    <row r="382" spans="1:12" x14ac:dyDescent="0.3">
      <c r="A382" s="2">
        <v>2024</v>
      </c>
      <c r="B382" t="s">
        <v>14</v>
      </c>
      <c r="C382" s="2">
        <v>634</v>
      </c>
      <c r="D382" s="2">
        <v>371</v>
      </c>
      <c r="E382" s="2">
        <v>0</v>
      </c>
      <c r="F382" s="2">
        <v>3</v>
      </c>
      <c r="G382" s="2">
        <v>620</v>
      </c>
      <c r="H382" s="2">
        <v>601</v>
      </c>
      <c r="I382" s="2">
        <v>52</v>
      </c>
      <c r="J382" s="2">
        <v>0</v>
      </c>
      <c r="K382" s="1">
        <v>45292</v>
      </c>
      <c r="L382" s="2">
        <f>SUM(Tabla1[[#This Row],[Serv. Culturales Derecho Hab Publ]:[Soci Comedores Pensionados Jubl]])</f>
        <v>2281</v>
      </c>
    </row>
    <row r="383" spans="1:12" x14ac:dyDescent="0.3">
      <c r="A383" s="2">
        <v>2024</v>
      </c>
      <c r="B383" t="s">
        <v>25</v>
      </c>
      <c r="C383" s="2">
        <v>0</v>
      </c>
      <c r="D383" s="2">
        <v>0</v>
      </c>
      <c r="E383" s="2">
        <v>0</v>
      </c>
      <c r="F383" s="2">
        <v>0</v>
      </c>
      <c r="G383" s="2">
        <v>2279</v>
      </c>
      <c r="H383" s="2">
        <v>0</v>
      </c>
      <c r="I383" s="2">
        <v>0</v>
      </c>
      <c r="J383" s="2">
        <v>0</v>
      </c>
      <c r="K383" s="1">
        <v>45292</v>
      </c>
      <c r="L383" s="2">
        <f>SUM(Tabla1[[#This Row],[Serv. Culturales Derecho Hab Publ]:[Soci Comedores Pensionados Jubl]])</f>
        <v>2279</v>
      </c>
    </row>
    <row r="384" spans="1:12" x14ac:dyDescent="0.3">
      <c r="A384" s="2">
        <v>2023</v>
      </c>
      <c r="B384" t="s">
        <v>8</v>
      </c>
      <c r="C384" s="2">
        <v>136</v>
      </c>
      <c r="D384" s="2">
        <v>540</v>
      </c>
      <c r="E384" s="2">
        <v>437</v>
      </c>
      <c r="F384" s="2">
        <v>2</v>
      </c>
      <c r="G384" s="2">
        <v>596</v>
      </c>
      <c r="H384" s="2">
        <v>457</v>
      </c>
      <c r="I384" s="2">
        <v>108</v>
      </c>
      <c r="J384" s="2">
        <v>0</v>
      </c>
      <c r="K384" s="1">
        <v>44927</v>
      </c>
      <c r="L384" s="2">
        <f>SUM(Tabla1[[#This Row],[Serv. Culturales Derecho Hab Publ]:[Soci Comedores Pensionados Jubl]])</f>
        <v>2276</v>
      </c>
    </row>
    <row r="385" spans="1:12" x14ac:dyDescent="0.3">
      <c r="A385" s="2">
        <v>2021</v>
      </c>
      <c r="B385" t="s">
        <v>17</v>
      </c>
      <c r="C385" s="2">
        <v>40</v>
      </c>
      <c r="D385" s="2">
        <v>354</v>
      </c>
      <c r="E385" s="2">
        <v>8</v>
      </c>
      <c r="F385" s="2">
        <v>0</v>
      </c>
      <c r="G385" s="2">
        <v>941</v>
      </c>
      <c r="H385" s="2">
        <v>499</v>
      </c>
      <c r="I385" s="2">
        <v>428</v>
      </c>
      <c r="J385" s="2">
        <v>0</v>
      </c>
      <c r="K385" s="1">
        <v>44197</v>
      </c>
      <c r="L385" s="2">
        <f>SUM(Tabla1[[#This Row],[Serv. Culturales Derecho Hab Publ]:[Soci Comedores Pensionados Jubl]])</f>
        <v>2270</v>
      </c>
    </row>
    <row r="386" spans="1:12" x14ac:dyDescent="0.3">
      <c r="A386" s="2">
        <v>2025</v>
      </c>
      <c r="B386" t="s">
        <v>47</v>
      </c>
      <c r="C386" s="2">
        <v>171</v>
      </c>
      <c r="D386" s="2">
        <v>837</v>
      </c>
      <c r="E386" s="2">
        <v>37</v>
      </c>
      <c r="F386" s="2">
        <v>49</v>
      </c>
      <c r="G386" s="2">
        <v>347</v>
      </c>
      <c r="H386" s="2">
        <v>797</v>
      </c>
      <c r="I386" s="2">
        <v>12</v>
      </c>
      <c r="J386" s="2">
        <v>0</v>
      </c>
      <c r="K386" s="1">
        <v>45658</v>
      </c>
      <c r="L386" s="2">
        <f>SUM(Tabla1[[#This Row],[Serv. Culturales Derecho Hab Publ]:[Soci Comedores Pensionados Jubl]])</f>
        <v>2250</v>
      </c>
    </row>
    <row r="387" spans="1:12" x14ac:dyDescent="0.3">
      <c r="A387" s="2">
        <v>2024</v>
      </c>
      <c r="B387" t="s">
        <v>7</v>
      </c>
      <c r="C387" s="2">
        <v>406</v>
      </c>
      <c r="D387" s="2">
        <v>726</v>
      </c>
      <c r="E387" s="2">
        <v>0</v>
      </c>
      <c r="F387" s="2">
        <v>8</v>
      </c>
      <c r="G387" s="2">
        <v>486</v>
      </c>
      <c r="H387" s="2">
        <v>613</v>
      </c>
      <c r="I387" s="2">
        <v>3</v>
      </c>
      <c r="J387" s="2">
        <v>0</v>
      </c>
      <c r="K387" s="1">
        <v>45292</v>
      </c>
      <c r="L387" s="2">
        <f>SUM(Tabla1[[#This Row],[Serv. Culturales Derecho Hab Publ]:[Soci Comedores Pensionados Jubl]])</f>
        <v>2242</v>
      </c>
    </row>
    <row r="388" spans="1:12" x14ac:dyDescent="0.3">
      <c r="A388" s="2">
        <v>2021</v>
      </c>
      <c r="B388" t="s">
        <v>48</v>
      </c>
      <c r="C388" s="2">
        <v>50</v>
      </c>
      <c r="D388" s="2">
        <v>93</v>
      </c>
      <c r="E388" s="2">
        <v>287</v>
      </c>
      <c r="F388" s="2">
        <v>1409</v>
      </c>
      <c r="G388" s="2">
        <v>171</v>
      </c>
      <c r="H388" s="2">
        <v>174</v>
      </c>
      <c r="I388" s="2">
        <v>22</v>
      </c>
      <c r="J388" s="2">
        <v>0</v>
      </c>
      <c r="K388" s="1">
        <v>44197</v>
      </c>
      <c r="L388" s="2">
        <f>SUM(Tabla1[[#This Row],[Serv. Culturales Derecho Hab Publ]:[Soci Comedores Pensionados Jubl]])</f>
        <v>2206</v>
      </c>
    </row>
    <row r="389" spans="1:12" x14ac:dyDescent="0.3">
      <c r="A389" s="2">
        <v>2021</v>
      </c>
      <c r="B389" t="s">
        <v>21</v>
      </c>
      <c r="C389" s="2">
        <v>639</v>
      </c>
      <c r="D389" s="2">
        <v>545</v>
      </c>
      <c r="E389" s="2">
        <v>0</v>
      </c>
      <c r="F389" s="2">
        <v>14</v>
      </c>
      <c r="G389" s="2">
        <v>537</v>
      </c>
      <c r="H389" s="2">
        <v>235</v>
      </c>
      <c r="I389" s="2">
        <v>220</v>
      </c>
      <c r="J389" s="2">
        <v>0</v>
      </c>
      <c r="K389" s="1">
        <v>44197</v>
      </c>
      <c r="L389" s="2">
        <f>SUM(Tabla1[[#This Row],[Serv. Culturales Derecho Hab Publ]:[Soci Comedores Pensionados Jubl]])</f>
        <v>2190</v>
      </c>
    </row>
    <row r="390" spans="1:12" x14ac:dyDescent="0.3">
      <c r="A390" s="2">
        <v>2023</v>
      </c>
      <c r="B390" t="s">
        <v>15</v>
      </c>
      <c r="C390" s="2">
        <v>221</v>
      </c>
      <c r="D390" s="2">
        <v>652</v>
      </c>
      <c r="E390" s="2">
        <v>0</v>
      </c>
      <c r="F390" s="2">
        <v>0</v>
      </c>
      <c r="G390" s="2">
        <v>976</v>
      </c>
      <c r="H390" s="2">
        <v>323</v>
      </c>
      <c r="I390" s="2">
        <v>1</v>
      </c>
      <c r="J390" s="2">
        <v>0</v>
      </c>
      <c r="K390" s="1">
        <v>44927</v>
      </c>
      <c r="L390" s="2">
        <f>SUM(Tabla1[[#This Row],[Serv. Culturales Derecho Hab Publ]:[Soci Comedores Pensionados Jubl]])</f>
        <v>2173</v>
      </c>
    </row>
    <row r="391" spans="1:12" x14ac:dyDescent="0.3">
      <c r="A391" s="2">
        <v>2023</v>
      </c>
      <c r="B391" t="s">
        <v>19</v>
      </c>
      <c r="C391" s="2">
        <v>17</v>
      </c>
      <c r="D391" s="2">
        <v>484</v>
      </c>
      <c r="E391" s="2">
        <v>2</v>
      </c>
      <c r="F391" s="2">
        <v>11</v>
      </c>
      <c r="G391" s="2">
        <v>1014</v>
      </c>
      <c r="H391" s="2">
        <v>483</v>
      </c>
      <c r="I391" s="2">
        <v>160</v>
      </c>
      <c r="J391" s="2">
        <v>0</v>
      </c>
      <c r="K391" s="1">
        <v>44927</v>
      </c>
      <c r="L391" s="2">
        <f>SUM(Tabla1[[#This Row],[Serv. Culturales Derecho Hab Publ]:[Soci Comedores Pensionados Jubl]])</f>
        <v>2171</v>
      </c>
    </row>
    <row r="392" spans="1:12" x14ac:dyDescent="0.3">
      <c r="A392" s="2">
        <v>2024</v>
      </c>
      <c r="B392" t="s">
        <v>19</v>
      </c>
      <c r="C392" s="2">
        <v>5</v>
      </c>
      <c r="D392" s="2">
        <v>563</v>
      </c>
      <c r="E392" s="2">
        <v>0</v>
      </c>
      <c r="F392" s="2">
        <v>0</v>
      </c>
      <c r="G392" s="2">
        <v>1091</v>
      </c>
      <c r="H392" s="2">
        <v>290</v>
      </c>
      <c r="I392" s="2">
        <v>216</v>
      </c>
      <c r="J392" s="2">
        <v>0</v>
      </c>
      <c r="K392" s="1">
        <v>45292</v>
      </c>
      <c r="L392" s="2">
        <f>SUM(Tabla1[[#This Row],[Serv. Culturales Derecho Hab Publ]:[Soci Comedores Pensionados Jubl]])</f>
        <v>2165</v>
      </c>
    </row>
    <row r="393" spans="1:12" x14ac:dyDescent="0.3">
      <c r="A393" s="2">
        <v>2022</v>
      </c>
      <c r="B393" t="s">
        <v>19</v>
      </c>
      <c r="C393" s="2">
        <v>145</v>
      </c>
      <c r="D393" s="2">
        <v>377</v>
      </c>
      <c r="E393" s="2">
        <v>4</v>
      </c>
      <c r="F393" s="2">
        <v>13</v>
      </c>
      <c r="G393" s="2">
        <v>1129</v>
      </c>
      <c r="H393" s="2">
        <v>313</v>
      </c>
      <c r="I393" s="2">
        <v>120</v>
      </c>
      <c r="J393" s="2">
        <v>0</v>
      </c>
      <c r="K393" s="1">
        <v>44562</v>
      </c>
      <c r="L393" s="2">
        <f>SUM(Tabla1[[#This Row],[Serv. Culturales Derecho Hab Publ]:[Soci Comedores Pensionados Jubl]])</f>
        <v>2101</v>
      </c>
    </row>
    <row r="394" spans="1:12" x14ac:dyDescent="0.3">
      <c r="A394" s="2">
        <v>2023</v>
      </c>
      <c r="B394" t="s">
        <v>7</v>
      </c>
      <c r="C394" s="2">
        <v>460</v>
      </c>
      <c r="D394" s="2">
        <v>614</v>
      </c>
      <c r="E394" s="2">
        <v>0</v>
      </c>
      <c r="F394" s="2">
        <v>9</v>
      </c>
      <c r="G394" s="2">
        <v>375</v>
      </c>
      <c r="H394" s="2">
        <v>569</v>
      </c>
      <c r="I394" s="2">
        <v>7</v>
      </c>
      <c r="J394" s="2">
        <v>0</v>
      </c>
      <c r="K394" s="1">
        <v>44927</v>
      </c>
      <c r="L394" s="2">
        <f>SUM(Tabla1[[#This Row],[Serv. Culturales Derecho Hab Publ]:[Soci Comedores Pensionados Jubl]])</f>
        <v>2034</v>
      </c>
    </row>
    <row r="395" spans="1:12" x14ac:dyDescent="0.3">
      <c r="A395" s="2">
        <v>2025</v>
      </c>
      <c r="B395" t="s">
        <v>46</v>
      </c>
      <c r="C395" s="2">
        <v>268</v>
      </c>
      <c r="D395" s="2">
        <v>382</v>
      </c>
      <c r="E395" s="2">
        <v>172</v>
      </c>
      <c r="F395" s="2">
        <v>806</v>
      </c>
      <c r="G395" s="2">
        <v>217</v>
      </c>
      <c r="H395" s="2">
        <v>148</v>
      </c>
      <c r="I395" s="2">
        <v>29</v>
      </c>
      <c r="J395" s="2">
        <v>0</v>
      </c>
      <c r="K395" s="1">
        <v>45658</v>
      </c>
      <c r="L395" s="2">
        <f>SUM(Tabla1[[#This Row],[Serv. Culturales Derecho Hab Publ]:[Soci Comedores Pensionados Jubl]])</f>
        <v>2022</v>
      </c>
    </row>
    <row r="396" spans="1:12" x14ac:dyDescent="0.3">
      <c r="A396" s="2">
        <v>2024</v>
      </c>
      <c r="B396" t="s">
        <v>48</v>
      </c>
      <c r="C396" s="2">
        <v>202</v>
      </c>
      <c r="D396" s="2">
        <v>379</v>
      </c>
      <c r="E396" s="2">
        <v>0</v>
      </c>
      <c r="F396" s="2">
        <v>529</v>
      </c>
      <c r="G396" s="2">
        <v>720</v>
      </c>
      <c r="H396" s="2">
        <v>168</v>
      </c>
      <c r="I396" s="2">
        <v>2</v>
      </c>
      <c r="J396" s="2">
        <v>0</v>
      </c>
      <c r="K396" s="1">
        <v>45292</v>
      </c>
      <c r="L396" s="2">
        <f>SUM(Tabla1[[#This Row],[Serv. Culturales Derecho Hab Publ]:[Soci Comedores Pensionados Jubl]])</f>
        <v>2000</v>
      </c>
    </row>
    <row r="397" spans="1:12" x14ac:dyDescent="0.3">
      <c r="A397" s="2">
        <v>2022</v>
      </c>
      <c r="B397" t="s">
        <v>21</v>
      </c>
      <c r="C397" s="2">
        <v>409</v>
      </c>
      <c r="D397" s="2">
        <v>621</v>
      </c>
      <c r="E397" s="2">
        <v>0</v>
      </c>
      <c r="F397" s="2">
        <v>6</v>
      </c>
      <c r="G397" s="2">
        <v>527</v>
      </c>
      <c r="H397" s="2">
        <v>307</v>
      </c>
      <c r="I397" s="2">
        <v>117</v>
      </c>
      <c r="J397" s="2">
        <v>0</v>
      </c>
      <c r="K397" s="1">
        <v>44562</v>
      </c>
      <c r="L397" s="2">
        <f>SUM(Tabla1[[#This Row],[Serv. Culturales Derecho Hab Publ]:[Soci Comedores Pensionados Jubl]])</f>
        <v>1987</v>
      </c>
    </row>
    <row r="398" spans="1:12" x14ac:dyDescent="0.3">
      <c r="A398" s="2">
        <v>2024</v>
      </c>
      <c r="B398" t="s">
        <v>3</v>
      </c>
      <c r="C398" s="2">
        <v>502</v>
      </c>
      <c r="D398" s="2">
        <v>309</v>
      </c>
      <c r="E398" s="2">
        <v>0</v>
      </c>
      <c r="F398" s="2">
        <v>0</v>
      </c>
      <c r="G398" s="2">
        <v>607</v>
      </c>
      <c r="H398" s="2">
        <v>318</v>
      </c>
      <c r="I398" s="2">
        <v>191</v>
      </c>
      <c r="J398" s="2">
        <v>0</v>
      </c>
      <c r="K398" s="1">
        <v>45292</v>
      </c>
      <c r="L398" s="2">
        <f>SUM(Tabla1[[#This Row],[Serv. Culturales Derecho Hab Publ]:[Soci Comedores Pensionados Jubl]])</f>
        <v>1927</v>
      </c>
    </row>
    <row r="399" spans="1:12" x14ac:dyDescent="0.3">
      <c r="A399" s="2">
        <v>2021</v>
      </c>
      <c r="B399" t="s">
        <v>46</v>
      </c>
      <c r="C399" s="2">
        <v>396</v>
      </c>
      <c r="D399" s="2">
        <v>298</v>
      </c>
      <c r="E399" s="2">
        <v>47</v>
      </c>
      <c r="F399" s="2">
        <v>42</v>
      </c>
      <c r="G399" s="2">
        <v>517</v>
      </c>
      <c r="H399" s="2">
        <v>400</v>
      </c>
      <c r="I399" s="2">
        <v>192</v>
      </c>
      <c r="J399" s="2">
        <v>0</v>
      </c>
      <c r="K399" s="1">
        <v>44197</v>
      </c>
      <c r="L399" s="2">
        <f>SUM(Tabla1[[#This Row],[Serv. Culturales Derecho Hab Publ]:[Soci Comedores Pensionados Jubl]])</f>
        <v>1892</v>
      </c>
    </row>
    <row r="400" spans="1:12" x14ac:dyDescent="0.3">
      <c r="A400" s="2">
        <v>2023</v>
      </c>
      <c r="B400" t="s">
        <v>14</v>
      </c>
      <c r="C400" s="2">
        <v>699</v>
      </c>
      <c r="D400" s="2">
        <v>346</v>
      </c>
      <c r="E400" s="2">
        <v>0</v>
      </c>
      <c r="F400" s="2">
        <v>0</v>
      </c>
      <c r="G400" s="2">
        <v>310</v>
      </c>
      <c r="H400" s="2">
        <v>462</v>
      </c>
      <c r="I400" s="2">
        <v>14</v>
      </c>
      <c r="J400" s="2">
        <v>0</v>
      </c>
      <c r="K400" s="1">
        <v>44927</v>
      </c>
      <c r="L400" s="2">
        <f>SUM(Tabla1[[#This Row],[Serv. Culturales Derecho Hab Publ]:[Soci Comedores Pensionados Jubl]])</f>
        <v>1831</v>
      </c>
    </row>
    <row r="401" spans="1:12" x14ac:dyDescent="0.3">
      <c r="A401" s="2">
        <v>2023</v>
      </c>
      <c r="B401" t="s">
        <v>48</v>
      </c>
      <c r="C401" s="2">
        <v>160</v>
      </c>
      <c r="D401" s="2">
        <v>343</v>
      </c>
      <c r="E401" s="2">
        <v>0</v>
      </c>
      <c r="F401" s="2">
        <v>533</v>
      </c>
      <c r="G401" s="2">
        <v>571</v>
      </c>
      <c r="H401" s="2">
        <v>189</v>
      </c>
      <c r="I401" s="2">
        <v>6</v>
      </c>
      <c r="J401" s="2">
        <v>0</v>
      </c>
      <c r="K401" s="1">
        <v>44927</v>
      </c>
      <c r="L401" s="2">
        <f>SUM(Tabla1[[#This Row],[Serv. Culturales Derecho Hab Publ]:[Soci Comedores Pensionados Jubl]])</f>
        <v>1802</v>
      </c>
    </row>
    <row r="402" spans="1:12" x14ac:dyDescent="0.3">
      <c r="A402" s="2">
        <v>2023</v>
      </c>
      <c r="B402" t="s">
        <v>3</v>
      </c>
      <c r="C402" s="2">
        <v>483</v>
      </c>
      <c r="D402" s="2">
        <v>334</v>
      </c>
      <c r="E402" s="2">
        <v>0</v>
      </c>
      <c r="F402" s="2">
        <v>0</v>
      </c>
      <c r="G402" s="2">
        <v>469</v>
      </c>
      <c r="H402" s="2">
        <v>319</v>
      </c>
      <c r="I402" s="2">
        <v>193</v>
      </c>
      <c r="J402" s="2">
        <v>0</v>
      </c>
      <c r="K402" s="1">
        <v>44927</v>
      </c>
      <c r="L402" s="2">
        <f>SUM(Tabla1[[#This Row],[Serv. Culturales Derecho Hab Publ]:[Soci Comedores Pensionados Jubl]])</f>
        <v>1798</v>
      </c>
    </row>
    <row r="403" spans="1:12" x14ac:dyDescent="0.3">
      <c r="A403" s="2">
        <v>2024</v>
      </c>
      <c r="B403" t="s">
        <v>8</v>
      </c>
      <c r="C403" s="2">
        <v>88</v>
      </c>
      <c r="D403" s="2">
        <v>440</v>
      </c>
      <c r="E403" s="2">
        <v>4</v>
      </c>
      <c r="F403" s="2">
        <v>1</v>
      </c>
      <c r="G403" s="2">
        <v>804</v>
      </c>
      <c r="H403" s="2">
        <v>448</v>
      </c>
      <c r="I403" s="2">
        <v>7</v>
      </c>
      <c r="J403" s="2">
        <v>0</v>
      </c>
      <c r="K403" s="1">
        <v>45292</v>
      </c>
      <c r="L403" s="2">
        <f>SUM(Tabla1[[#This Row],[Serv. Culturales Derecho Hab Publ]:[Soci Comedores Pensionados Jubl]])</f>
        <v>1792</v>
      </c>
    </row>
    <row r="404" spans="1:12" x14ac:dyDescent="0.3">
      <c r="A404" s="2">
        <v>2024</v>
      </c>
      <c r="B404" t="s">
        <v>11</v>
      </c>
      <c r="C404" s="2">
        <v>297</v>
      </c>
      <c r="D404" s="2">
        <v>599</v>
      </c>
      <c r="E404" s="2">
        <v>0</v>
      </c>
      <c r="F404" s="2">
        <v>76</v>
      </c>
      <c r="G404" s="2">
        <v>521</v>
      </c>
      <c r="H404" s="2">
        <v>235</v>
      </c>
      <c r="I404" s="2">
        <v>25</v>
      </c>
      <c r="J404" s="2">
        <v>0</v>
      </c>
      <c r="K404" s="1">
        <v>45292</v>
      </c>
      <c r="L404" s="2">
        <f>SUM(Tabla1[[#This Row],[Serv. Culturales Derecho Hab Publ]:[Soci Comedores Pensionados Jubl]])</f>
        <v>1753</v>
      </c>
    </row>
    <row r="405" spans="1:12" x14ac:dyDescent="0.3">
      <c r="A405" s="2">
        <v>2024</v>
      </c>
      <c r="B405" t="s">
        <v>50</v>
      </c>
      <c r="C405" s="2">
        <v>177</v>
      </c>
      <c r="D405" s="2">
        <v>665</v>
      </c>
      <c r="E405" s="2">
        <v>0</v>
      </c>
      <c r="F405" s="2">
        <v>276</v>
      </c>
      <c r="G405" s="2">
        <v>234</v>
      </c>
      <c r="H405" s="2">
        <v>393</v>
      </c>
      <c r="I405" s="2">
        <v>0</v>
      </c>
      <c r="J405" s="2">
        <v>0</v>
      </c>
      <c r="K405" s="1">
        <v>45292</v>
      </c>
      <c r="L405" s="2">
        <f>SUM(Tabla1[[#This Row],[Serv. Culturales Derecho Hab Publ]:[Soci Comedores Pensionados Jubl]])</f>
        <v>1745</v>
      </c>
    </row>
    <row r="406" spans="1:12" x14ac:dyDescent="0.3">
      <c r="A406" s="2">
        <v>2021</v>
      </c>
      <c r="B406" t="s">
        <v>23</v>
      </c>
      <c r="C406" s="2">
        <v>90</v>
      </c>
      <c r="D406" s="2">
        <v>508</v>
      </c>
      <c r="E406" s="2">
        <v>4</v>
      </c>
      <c r="F406" s="2">
        <v>37</v>
      </c>
      <c r="G406" s="2">
        <v>741</v>
      </c>
      <c r="H406" s="2">
        <v>83</v>
      </c>
      <c r="I406" s="2">
        <v>280</v>
      </c>
      <c r="J406" s="2">
        <v>0</v>
      </c>
      <c r="K406" s="1">
        <v>44197</v>
      </c>
      <c r="L406" s="2">
        <f>SUM(Tabla1[[#This Row],[Serv. Culturales Derecho Hab Publ]:[Soci Comedores Pensionados Jubl]])</f>
        <v>1743</v>
      </c>
    </row>
    <row r="407" spans="1:12" x14ac:dyDescent="0.3">
      <c r="A407" s="2">
        <v>2021</v>
      </c>
      <c r="B407" t="s">
        <v>22</v>
      </c>
      <c r="C407" s="2">
        <v>469</v>
      </c>
      <c r="D407" s="2">
        <v>445</v>
      </c>
      <c r="E407" s="2">
        <v>63</v>
      </c>
      <c r="F407" s="2">
        <v>143</v>
      </c>
      <c r="G407" s="2">
        <v>263</v>
      </c>
      <c r="H407" s="2">
        <v>314</v>
      </c>
      <c r="I407" s="2">
        <v>25</v>
      </c>
      <c r="J407" s="2">
        <v>0</v>
      </c>
      <c r="K407" s="1">
        <v>44197</v>
      </c>
      <c r="L407" s="2">
        <f>SUM(Tabla1[[#This Row],[Serv. Culturales Derecho Hab Publ]:[Soci Comedores Pensionados Jubl]])</f>
        <v>1722</v>
      </c>
    </row>
    <row r="408" spans="1:12" x14ac:dyDescent="0.3">
      <c r="A408" s="2">
        <v>2022</v>
      </c>
      <c r="B408" t="s">
        <v>15</v>
      </c>
      <c r="C408" s="2">
        <v>163</v>
      </c>
      <c r="D408" s="2">
        <v>514</v>
      </c>
      <c r="E408" s="2">
        <v>15</v>
      </c>
      <c r="F408" s="2">
        <v>0</v>
      </c>
      <c r="G408" s="2">
        <v>749</v>
      </c>
      <c r="H408" s="2">
        <v>275</v>
      </c>
      <c r="I408" s="2">
        <v>1</v>
      </c>
      <c r="J408" s="2">
        <v>0</v>
      </c>
      <c r="K408" s="1">
        <v>44562</v>
      </c>
      <c r="L408" s="2">
        <f>SUM(Tabla1[[#This Row],[Serv. Culturales Derecho Hab Publ]:[Soci Comedores Pensionados Jubl]])</f>
        <v>1717</v>
      </c>
    </row>
    <row r="409" spans="1:12" x14ac:dyDescent="0.3">
      <c r="A409" s="2">
        <v>2024</v>
      </c>
      <c r="B409" t="s">
        <v>24</v>
      </c>
      <c r="C409" s="2">
        <v>214</v>
      </c>
      <c r="D409" s="2">
        <v>1442</v>
      </c>
      <c r="E409" s="2">
        <v>0</v>
      </c>
      <c r="F409" s="2">
        <v>8</v>
      </c>
      <c r="G409" s="2">
        <v>15</v>
      </c>
      <c r="H409" s="2">
        <v>0</v>
      </c>
      <c r="I409" s="2">
        <v>37</v>
      </c>
      <c r="J409" s="2">
        <v>0</v>
      </c>
      <c r="K409" s="1">
        <v>45292</v>
      </c>
      <c r="L409" s="2">
        <f>SUM(Tabla1[[#This Row],[Serv. Culturales Derecho Hab Publ]:[Soci Comedores Pensionados Jubl]])</f>
        <v>1716</v>
      </c>
    </row>
    <row r="410" spans="1:12" x14ac:dyDescent="0.3">
      <c r="A410" s="2">
        <v>2022</v>
      </c>
      <c r="B410" t="s">
        <v>7</v>
      </c>
      <c r="C410" s="2">
        <v>515</v>
      </c>
      <c r="D410" s="2">
        <v>644</v>
      </c>
      <c r="E410" s="2">
        <v>9</v>
      </c>
      <c r="F410" s="2">
        <v>6</v>
      </c>
      <c r="G410" s="2">
        <v>232</v>
      </c>
      <c r="H410" s="2">
        <v>296</v>
      </c>
      <c r="I410" s="2">
        <v>0</v>
      </c>
      <c r="J410" s="2">
        <v>0</v>
      </c>
      <c r="K410" s="1">
        <v>44562</v>
      </c>
      <c r="L410" s="2">
        <f>SUM(Tabla1[[#This Row],[Serv. Culturales Derecho Hab Publ]:[Soci Comedores Pensionados Jubl]])</f>
        <v>1702</v>
      </c>
    </row>
    <row r="411" spans="1:12" x14ac:dyDescent="0.3">
      <c r="A411" s="2">
        <v>2023</v>
      </c>
      <c r="B411" t="s">
        <v>50</v>
      </c>
      <c r="C411" s="2">
        <v>85</v>
      </c>
      <c r="D411" s="2">
        <v>715</v>
      </c>
      <c r="E411" s="2">
        <v>0</v>
      </c>
      <c r="F411" s="2">
        <v>258</v>
      </c>
      <c r="G411" s="2">
        <v>199</v>
      </c>
      <c r="H411" s="2">
        <v>400</v>
      </c>
      <c r="I411" s="2">
        <v>1</v>
      </c>
      <c r="J411" s="2">
        <v>0</v>
      </c>
      <c r="K411" s="1">
        <v>44927</v>
      </c>
      <c r="L411" s="2">
        <f>SUM(Tabla1[[#This Row],[Serv. Culturales Derecho Hab Publ]:[Soci Comedores Pensionados Jubl]])</f>
        <v>1658</v>
      </c>
    </row>
    <row r="412" spans="1:12" x14ac:dyDescent="0.3">
      <c r="A412" s="2">
        <v>2021</v>
      </c>
      <c r="B412" t="s">
        <v>19</v>
      </c>
      <c r="C412" s="2">
        <v>113</v>
      </c>
      <c r="D412" s="2">
        <v>507</v>
      </c>
      <c r="E412" s="2">
        <v>198</v>
      </c>
      <c r="F412" s="2">
        <v>21</v>
      </c>
      <c r="G412" s="2">
        <v>610</v>
      </c>
      <c r="H412" s="2">
        <v>153</v>
      </c>
      <c r="I412" s="2">
        <v>41</v>
      </c>
      <c r="J412" s="2">
        <v>0</v>
      </c>
      <c r="K412" s="1">
        <v>44197</v>
      </c>
      <c r="L412" s="2">
        <f>SUM(Tabla1[[#This Row],[Serv. Culturales Derecho Hab Publ]:[Soci Comedores Pensionados Jubl]])</f>
        <v>1643</v>
      </c>
    </row>
    <row r="413" spans="1:12" x14ac:dyDescent="0.3">
      <c r="A413" s="2">
        <v>2025</v>
      </c>
      <c r="B413" t="s">
        <v>2</v>
      </c>
      <c r="C413" s="2">
        <v>80</v>
      </c>
      <c r="D413" s="2">
        <v>426</v>
      </c>
      <c r="E413" s="2">
        <v>0</v>
      </c>
      <c r="F413" s="2">
        <v>0</v>
      </c>
      <c r="G413" s="2">
        <v>447</v>
      </c>
      <c r="H413" s="2">
        <v>527</v>
      </c>
      <c r="I413" s="2">
        <v>139</v>
      </c>
      <c r="J413" s="2">
        <v>0</v>
      </c>
      <c r="K413" s="1">
        <v>45658</v>
      </c>
      <c r="L413" s="2">
        <f>SUM(Tabla1[[#This Row],[Serv. Culturales Derecho Hab Publ]:[Soci Comedores Pensionados Jubl]])</f>
        <v>1619</v>
      </c>
    </row>
    <row r="414" spans="1:12" x14ac:dyDescent="0.3">
      <c r="A414" s="2">
        <v>2022</v>
      </c>
      <c r="B414" t="s">
        <v>3</v>
      </c>
      <c r="C414" s="2">
        <v>350</v>
      </c>
      <c r="D414" s="2">
        <v>421</v>
      </c>
      <c r="E414" s="2">
        <v>0</v>
      </c>
      <c r="F414" s="2">
        <v>5</v>
      </c>
      <c r="G414" s="2">
        <v>337</v>
      </c>
      <c r="H414" s="2">
        <v>289</v>
      </c>
      <c r="I414" s="2">
        <v>176</v>
      </c>
      <c r="J414" s="2">
        <v>0</v>
      </c>
      <c r="K414" s="1">
        <v>44562</v>
      </c>
      <c r="L414" s="2">
        <f>SUM(Tabla1[[#This Row],[Serv. Culturales Derecho Hab Publ]:[Soci Comedores Pensionados Jubl]])</f>
        <v>1578</v>
      </c>
    </row>
    <row r="415" spans="1:12" x14ac:dyDescent="0.3">
      <c r="A415" s="2">
        <v>2023</v>
      </c>
      <c r="B415" t="s">
        <v>13</v>
      </c>
      <c r="C415" s="2">
        <v>482</v>
      </c>
      <c r="D415" s="2">
        <v>351</v>
      </c>
      <c r="E415" s="2">
        <v>5</v>
      </c>
      <c r="F415" s="2">
        <v>10</v>
      </c>
      <c r="G415" s="2">
        <v>197</v>
      </c>
      <c r="H415" s="2">
        <v>174</v>
      </c>
      <c r="I415" s="2">
        <v>326</v>
      </c>
      <c r="J415" s="2">
        <v>0</v>
      </c>
      <c r="K415" s="1">
        <v>44927</v>
      </c>
      <c r="L415" s="2">
        <f>SUM(Tabla1[[#This Row],[Serv. Culturales Derecho Hab Publ]:[Soci Comedores Pensionados Jubl]])</f>
        <v>1545</v>
      </c>
    </row>
    <row r="416" spans="1:12" x14ac:dyDescent="0.3">
      <c r="A416" s="2">
        <v>2022</v>
      </c>
      <c r="B416" t="s">
        <v>50</v>
      </c>
      <c r="C416" s="2">
        <v>157</v>
      </c>
      <c r="D416" s="2">
        <v>621</v>
      </c>
      <c r="E416" s="2">
        <v>0</v>
      </c>
      <c r="F416" s="2">
        <v>220</v>
      </c>
      <c r="G416" s="2">
        <v>228</v>
      </c>
      <c r="H416" s="2">
        <v>308</v>
      </c>
      <c r="I416" s="2">
        <v>3</v>
      </c>
      <c r="J416" s="2">
        <v>0</v>
      </c>
      <c r="K416" s="1">
        <v>44562</v>
      </c>
      <c r="L416" s="2">
        <f>SUM(Tabla1[[#This Row],[Serv. Culturales Derecho Hab Publ]:[Soci Comedores Pensionados Jubl]])</f>
        <v>1537</v>
      </c>
    </row>
    <row r="417" spans="1:12" x14ac:dyDescent="0.3">
      <c r="A417" s="2">
        <v>2023</v>
      </c>
      <c r="B417" t="s">
        <v>11</v>
      </c>
      <c r="C417" s="2">
        <v>240</v>
      </c>
      <c r="D417" s="2">
        <v>488</v>
      </c>
      <c r="E417" s="2">
        <v>0</v>
      </c>
      <c r="F417" s="2">
        <v>99</v>
      </c>
      <c r="G417" s="2">
        <v>433</v>
      </c>
      <c r="H417" s="2">
        <v>267</v>
      </c>
      <c r="I417" s="2">
        <v>4</v>
      </c>
      <c r="J417" s="2">
        <v>0</v>
      </c>
      <c r="K417" s="1">
        <v>44927</v>
      </c>
      <c r="L417" s="2">
        <f>SUM(Tabla1[[#This Row],[Serv. Culturales Derecho Hab Publ]:[Soci Comedores Pensionados Jubl]])</f>
        <v>1531</v>
      </c>
    </row>
    <row r="418" spans="1:12" x14ac:dyDescent="0.3">
      <c r="A418" s="2">
        <v>2022</v>
      </c>
      <c r="B418" t="s">
        <v>11</v>
      </c>
      <c r="C418" s="2">
        <v>320</v>
      </c>
      <c r="D418" s="2">
        <v>352</v>
      </c>
      <c r="E418" s="2">
        <v>0</v>
      </c>
      <c r="F418" s="2">
        <v>142</v>
      </c>
      <c r="G418" s="2">
        <v>416</v>
      </c>
      <c r="H418" s="2">
        <v>282</v>
      </c>
      <c r="I418" s="2">
        <v>4</v>
      </c>
      <c r="J418" s="2">
        <v>0</v>
      </c>
      <c r="K418" s="1">
        <v>44562</v>
      </c>
      <c r="L418" s="2">
        <f>SUM(Tabla1[[#This Row],[Serv. Culturales Derecho Hab Publ]:[Soci Comedores Pensionados Jubl]])</f>
        <v>1516</v>
      </c>
    </row>
    <row r="419" spans="1:12" x14ac:dyDescent="0.3">
      <c r="A419" s="2">
        <v>2025</v>
      </c>
      <c r="B419" t="s">
        <v>59</v>
      </c>
      <c r="C419" s="2">
        <v>59</v>
      </c>
      <c r="D419" s="2">
        <v>196</v>
      </c>
      <c r="E419" s="2">
        <v>0</v>
      </c>
      <c r="F419" s="2">
        <v>1036</v>
      </c>
      <c r="G419" s="2">
        <v>196</v>
      </c>
      <c r="H419" s="2">
        <v>0</v>
      </c>
      <c r="I419" s="2">
        <v>0</v>
      </c>
      <c r="J419" s="2">
        <v>0</v>
      </c>
      <c r="K419" s="1">
        <v>45658</v>
      </c>
      <c r="L419" s="2">
        <f>SUM(Tabla1[[#This Row],[Serv. Culturales Derecho Hab Publ]:[Soci Comedores Pensionados Jubl]])</f>
        <v>1487</v>
      </c>
    </row>
    <row r="420" spans="1:12" x14ac:dyDescent="0.3">
      <c r="A420" s="2">
        <v>2021</v>
      </c>
      <c r="B420" t="s">
        <v>8</v>
      </c>
      <c r="C420" s="2">
        <v>139</v>
      </c>
      <c r="D420" s="2">
        <v>521</v>
      </c>
      <c r="E420" s="2">
        <v>19</v>
      </c>
      <c r="F420" s="2">
        <v>51</v>
      </c>
      <c r="G420" s="2">
        <v>605</v>
      </c>
      <c r="H420" s="2">
        <v>60</v>
      </c>
      <c r="I420" s="2">
        <v>81</v>
      </c>
      <c r="J420" s="2">
        <v>0</v>
      </c>
      <c r="K420" s="1">
        <v>44197</v>
      </c>
      <c r="L420" s="2">
        <f>SUM(Tabla1[[#This Row],[Serv. Culturales Derecho Hab Publ]:[Soci Comedores Pensionados Jubl]])</f>
        <v>1476</v>
      </c>
    </row>
    <row r="421" spans="1:12" x14ac:dyDescent="0.3">
      <c r="A421" s="2">
        <v>2025</v>
      </c>
      <c r="B421" t="s">
        <v>5</v>
      </c>
      <c r="C421" s="2">
        <v>57</v>
      </c>
      <c r="D421" s="2">
        <v>305</v>
      </c>
      <c r="E421" s="2">
        <v>40</v>
      </c>
      <c r="F421" s="2">
        <v>0</v>
      </c>
      <c r="G421" s="2">
        <v>618</v>
      </c>
      <c r="H421" s="2">
        <v>272</v>
      </c>
      <c r="I421" s="2">
        <v>183</v>
      </c>
      <c r="J421" s="2">
        <v>0</v>
      </c>
      <c r="K421" s="1">
        <v>45658</v>
      </c>
      <c r="L421" s="2">
        <f>SUM(Tabla1[[#This Row],[Serv. Culturales Derecho Hab Publ]:[Soci Comedores Pensionados Jubl]])</f>
        <v>1475</v>
      </c>
    </row>
    <row r="422" spans="1:12" x14ac:dyDescent="0.3">
      <c r="A422" s="2">
        <v>2025</v>
      </c>
      <c r="B422" t="s">
        <v>12</v>
      </c>
      <c r="C422" s="2">
        <v>190</v>
      </c>
      <c r="D422" s="2">
        <v>535</v>
      </c>
      <c r="E422" s="2">
        <v>0</v>
      </c>
      <c r="F422" s="2">
        <v>8</v>
      </c>
      <c r="G422" s="2">
        <v>291</v>
      </c>
      <c r="H422" s="2">
        <v>260</v>
      </c>
      <c r="I422" s="2">
        <v>151</v>
      </c>
      <c r="J422" s="2">
        <v>0</v>
      </c>
      <c r="K422" s="1">
        <v>45658</v>
      </c>
      <c r="L422" s="2">
        <f>SUM(Tabla1[[#This Row],[Serv. Culturales Derecho Hab Publ]:[Soci Comedores Pensionados Jubl]])</f>
        <v>1435</v>
      </c>
    </row>
    <row r="423" spans="1:12" x14ac:dyDescent="0.3">
      <c r="A423" s="2">
        <v>2022</v>
      </c>
      <c r="B423" t="s">
        <v>13</v>
      </c>
      <c r="C423" s="2">
        <v>168</v>
      </c>
      <c r="D423" s="2">
        <v>398</v>
      </c>
      <c r="E423" s="2">
        <v>192</v>
      </c>
      <c r="F423" s="2">
        <v>1</v>
      </c>
      <c r="G423" s="2">
        <v>381</v>
      </c>
      <c r="H423" s="2">
        <v>184</v>
      </c>
      <c r="I423" s="2">
        <v>107</v>
      </c>
      <c r="J423" s="2">
        <v>0</v>
      </c>
      <c r="K423" s="1">
        <v>44562</v>
      </c>
      <c r="L423" s="2">
        <f>SUM(Tabla1[[#This Row],[Serv. Culturales Derecho Hab Publ]:[Soci Comedores Pensionados Jubl]])</f>
        <v>1431</v>
      </c>
    </row>
    <row r="424" spans="1:12" x14ac:dyDescent="0.3">
      <c r="A424" s="2">
        <v>2024</v>
      </c>
      <c r="B424" t="s">
        <v>13</v>
      </c>
      <c r="C424" s="2">
        <v>393</v>
      </c>
      <c r="D424" s="2">
        <v>359</v>
      </c>
      <c r="E424" s="2">
        <v>0</v>
      </c>
      <c r="F424" s="2">
        <v>0</v>
      </c>
      <c r="G424" s="2">
        <v>180</v>
      </c>
      <c r="H424" s="2">
        <v>286</v>
      </c>
      <c r="I424" s="2">
        <v>201</v>
      </c>
      <c r="J424" s="2">
        <v>0</v>
      </c>
      <c r="K424" s="1">
        <v>45292</v>
      </c>
      <c r="L424" s="2">
        <f>SUM(Tabla1[[#This Row],[Serv. Culturales Derecho Hab Publ]:[Soci Comedores Pensionados Jubl]])</f>
        <v>1419</v>
      </c>
    </row>
    <row r="425" spans="1:12" x14ac:dyDescent="0.3">
      <c r="A425" s="2">
        <v>2021</v>
      </c>
      <c r="B425" t="s">
        <v>16</v>
      </c>
      <c r="C425" s="2">
        <v>110</v>
      </c>
      <c r="D425" s="2">
        <v>193</v>
      </c>
      <c r="E425" s="2">
        <v>157</v>
      </c>
      <c r="F425" s="2">
        <v>69</v>
      </c>
      <c r="G425" s="2">
        <v>541</v>
      </c>
      <c r="H425" s="2">
        <v>164</v>
      </c>
      <c r="I425" s="2">
        <v>157</v>
      </c>
      <c r="J425" s="2">
        <v>0</v>
      </c>
      <c r="K425" s="1">
        <v>44197</v>
      </c>
      <c r="L425" s="2">
        <f>SUM(Tabla1[[#This Row],[Serv. Culturales Derecho Hab Publ]:[Soci Comedores Pensionados Jubl]])</f>
        <v>1391</v>
      </c>
    </row>
    <row r="426" spans="1:12" x14ac:dyDescent="0.3">
      <c r="A426" s="2">
        <v>2021</v>
      </c>
      <c r="B426" t="s">
        <v>7</v>
      </c>
      <c r="C426" s="2">
        <v>282</v>
      </c>
      <c r="D426" s="2">
        <v>563</v>
      </c>
      <c r="E426" s="2">
        <v>0</v>
      </c>
      <c r="F426" s="2">
        <v>6</v>
      </c>
      <c r="G426" s="2">
        <v>216</v>
      </c>
      <c r="H426" s="2">
        <v>311</v>
      </c>
      <c r="I426" s="2">
        <v>11</v>
      </c>
      <c r="J426" s="2">
        <v>0</v>
      </c>
      <c r="K426" s="1">
        <v>44197</v>
      </c>
      <c r="L426" s="2">
        <f>SUM(Tabla1[[#This Row],[Serv. Culturales Derecho Hab Publ]:[Soci Comedores Pensionados Jubl]])</f>
        <v>1389</v>
      </c>
    </row>
    <row r="427" spans="1:12" x14ac:dyDescent="0.3">
      <c r="A427" s="2">
        <v>2022</v>
      </c>
      <c r="B427" t="s">
        <v>14</v>
      </c>
      <c r="C427" s="2">
        <v>488</v>
      </c>
      <c r="D427" s="2">
        <v>332</v>
      </c>
      <c r="E427" s="2">
        <v>0</v>
      </c>
      <c r="F427" s="2">
        <v>9</v>
      </c>
      <c r="G427" s="2">
        <v>111</v>
      </c>
      <c r="H427" s="2">
        <v>353</v>
      </c>
      <c r="I427" s="2">
        <v>94</v>
      </c>
      <c r="J427" s="2">
        <v>0</v>
      </c>
      <c r="K427" s="1">
        <v>44562</v>
      </c>
      <c r="L427" s="2">
        <f>SUM(Tabla1[[#This Row],[Serv. Culturales Derecho Hab Publ]:[Soci Comedores Pensionados Jubl]])</f>
        <v>1387</v>
      </c>
    </row>
    <row r="428" spans="1:12" x14ac:dyDescent="0.3">
      <c r="A428" s="2">
        <v>2021</v>
      </c>
      <c r="B428" t="s">
        <v>15</v>
      </c>
      <c r="C428" s="2">
        <v>109</v>
      </c>
      <c r="D428" s="2">
        <v>300</v>
      </c>
      <c r="E428" s="2">
        <v>2</v>
      </c>
      <c r="F428" s="2">
        <v>0</v>
      </c>
      <c r="G428" s="2">
        <v>701</v>
      </c>
      <c r="H428" s="2">
        <v>260</v>
      </c>
      <c r="I428" s="2">
        <v>4</v>
      </c>
      <c r="J428" s="2">
        <v>0</v>
      </c>
      <c r="K428" s="1">
        <v>44197</v>
      </c>
      <c r="L428" s="2">
        <f>SUM(Tabla1[[#This Row],[Serv. Culturales Derecho Hab Publ]:[Soci Comedores Pensionados Jubl]])</f>
        <v>1376</v>
      </c>
    </row>
    <row r="429" spans="1:12" x14ac:dyDescent="0.3">
      <c r="A429" s="2">
        <v>2023</v>
      </c>
      <c r="B429" t="s">
        <v>32</v>
      </c>
      <c r="C429" s="2">
        <v>2</v>
      </c>
      <c r="D429" s="2">
        <v>761</v>
      </c>
      <c r="E429" s="2">
        <v>0</v>
      </c>
      <c r="F429" s="2">
        <v>7</v>
      </c>
      <c r="G429" s="2">
        <v>309</v>
      </c>
      <c r="H429" s="2">
        <v>277</v>
      </c>
      <c r="I429" s="2">
        <v>5</v>
      </c>
      <c r="J429" s="2">
        <v>0</v>
      </c>
      <c r="K429" s="1">
        <v>44927</v>
      </c>
      <c r="L429" s="2">
        <f>SUM(Tabla1[[#This Row],[Serv. Culturales Derecho Hab Publ]:[Soci Comedores Pensionados Jubl]])</f>
        <v>1361</v>
      </c>
    </row>
    <row r="430" spans="1:12" x14ac:dyDescent="0.3">
      <c r="A430" s="2">
        <v>2025</v>
      </c>
      <c r="B430" t="s">
        <v>58</v>
      </c>
      <c r="C430" s="2">
        <v>127</v>
      </c>
      <c r="D430" s="2">
        <v>558</v>
      </c>
      <c r="E430" s="2">
        <v>6</v>
      </c>
      <c r="F430" s="2">
        <v>20</v>
      </c>
      <c r="G430" s="2">
        <v>287</v>
      </c>
      <c r="H430" s="2">
        <v>206</v>
      </c>
      <c r="I430" s="2">
        <v>106</v>
      </c>
      <c r="J430" s="2">
        <v>0</v>
      </c>
      <c r="K430" s="1">
        <v>45658</v>
      </c>
      <c r="L430" s="2">
        <f>SUM(Tabla1[[#This Row],[Serv. Culturales Derecho Hab Publ]:[Soci Comedores Pensionados Jubl]])</f>
        <v>1310</v>
      </c>
    </row>
    <row r="431" spans="1:12" x14ac:dyDescent="0.3">
      <c r="A431" s="2">
        <v>2022</v>
      </c>
      <c r="B431" t="s">
        <v>16</v>
      </c>
      <c r="C431" s="2">
        <v>80</v>
      </c>
      <c r="D431" s="2">
        <v>312</v>
      </c>
      <c r="E431" s="2">
        <v>0</v>
      </c>
      <c r="F431" s="2">
        <v>120</v>
      </c>
      <c r="G431" s="2">
        <v>469</v>
      </c>
      <c r="H431" s="2">
        <v>212</v>
      </c>
      <c r="I431" s="2">
        <v>91</v>
      </c>
      <c r="J431" s="2">
        <v>0</v>
      </c>
      <c r="K431" s="1">
        <v>44562</v>
      </c>
      <c r="L431" s="2">
        <f>SUM(Tabla1[[#This Row],[Serv. Culturales Derecho Hab Publ]:[Soci Comedores Pensionados Jubl]])</f>
        <v>1284</v>
      </c>
    </row>
    <row r="432" spans="1:12" x14ac:dyDescent="0.3">
      <c r="A432" s="2">
        <v>2021</v>
      </c>
      <c r="B432" t="s">
        <v>50</v>
      </c>
      <c r="C432" s="2">
        <v>145</v>
      </c>
      <c r="D432" s="2">
        <v>509</v>
      </c>
      <c r="E432" s="2">
        <v>5</v>
      </c>
      <c r="F432" s="2">
        <v>227</v>
      </c>
      <c r="G432" s="2">
        <v>195</v>
      </c>
      <c r="H432" s="2">
        <v>193</v>
      </c>
      <c r="I432" s="2">
        <v>1</v>
      </c>
      <c r="J432" s="2">
        <v>0</v>
      </c>
      <c r="K432" s="1">
        <v>44197</v>
      </c>
      <c r="L432" s="2">
        <f>SUM(Tabla1[[#This Row],[Serv. Culturales Derecho Hab Publ]:[Soci Comedores Pensionados Jubl]])</f>
        <v>1275</v>
      </c>
    </row>
    <row r="433" spans="1:12" x14ac:dyDescent="0.3">
      <c r="A433" s="2">
        <v>2024</v>
      </c>
      <c r="B433" t="s">
        <v>49</v>
      </c>
      <c r="C433" s="2">
        <v>294</v>
      </c>
      <c r="D433" s="2">
        <v>266</v>
      </c>
      <c r="E433" s="2">
        <v>10</v>
      </c>
      <c r="F433" s="2">
        <v>6</v>
      </c>
      <c r="G433" s="2">
        <v>222</v>
      </c>
      <c r="H433" s="2">
        <v>296</v>
      </c>
      <c r="I433" s="2">
        <v>158</v>
      </c>
      <c r="J433" s="2">
        <v>0</v>
      </c>
      <c r="K433" s="1">
        <v>45292</v>
      </c>
      <c r="L433" s="2">
        <f>SUM(Tabla1[[#This Row],[Serv. Culturales Derecho Hab Publ]:[Soci Comedores Pensionados Jubl]])</f>
        <v>1252</v>
      </c>
    </row>
    <row r="434" spans="1:12" x14ac:dyDescent="0.3">
      <c r="A434" s="2">
        <v>2024</v>
      </c>
      <c r="B434" t="s">
        <v>33</v>
      </c>
      <c r="C434" s="2">
        <v>192</v>
      </c>
      <c r="D434" s="2">
        <v>419</v>
      </c>
      <c r="E434" s="2">
        <v>250</v>
      </c>
      <c r="F434" s="2">
        <v>59</v>
      </c>
      <c r="G434" s="2">
        <v>163</v>
      </c>
      <c r="H434" s="2">
        <v>4</v>
      </c>
      <c r="I434" s="2">
        <v>160</v>
      </c>
      <c r="J434" s="2">
        <v>0</v>
      </c>
      <c r="K434" s="1">
        <v>45292</v>
      </c>
      <c r="L434" s="2">
        <f>SUM(Tabla1[[#This Row],[Serv. Culturales Derecho Hab Publ]:[Soci Comedores Pensionados Jubl]])</f>
        <v>1247</v>
      </c>
    </row>
    <row r="435" spans="1:12" x14ac:dyDescent="0.3">
      <c r="A435" s="2">
        <v>2024</v>
      </c>
      <c r="B435" t="s">
        <v>1</v>
      </c>
      <c r="C435" s="2">
        <v>66</v>
      </c>
      <c r="D435" s="2">
        <v>586</v>
      </c>
      <c r="E435" s="2">
        <v>19</v>
      </c>
      <c r="F435" s="2">
        <v>0</v>
      </c>
      <c r="G435" s="2">
        <v>257</v>
      </c>
      <c r="H435" s="2">
        <v>294</v>
      </c>
      <c r="I435" s="2">
        <v>1</v>
      </c>
      <c r="J435" s="2">
        <v>0</v>
      </c>
      <c r="K435" s="1">
        <v>45292</v>
      </c>
      <c r="L435" s="2">
        <f>SUM(Tabla1[[#This Row],[Serv. Culturales Derecho Hab Publ]:[Soci Comedores Pensionados Jubl]])</f>
        <v>1223</v>
      </c>
    </row>
    <row r="436" spans="1:12" x14ac:dyDescent="0.3">
      <c r="A436" s="2">
        <v>2021</v>
      </c>
      <c r="B436" t="s">
        <v>3</v>
      </c>
      <c r="C436" s="2">
        <v>254</v>
      </c>
      <c r="D436" s="2">
        <v>302</v>
      </c>
      <c r="E436" s="2">
        <v>0</v>
      </c>
      <c r="F436" s="2">
        <v>74</v>
      </c>
      <c r="G436" s="2">
        <v>301</v>
      </c>
      <c r="H436" s="2">
        <v>138</v>
      </c>
      <c r="I436" s="2">
        <v>107</v>
      </c>
      <c r="J436" s="2">
        <v>0</v>
      </c>
      <c r="K436" s="1">
        <v>44197</v>
      </c>
      <c r="L436" s="2">
        <f>SUM(Tabla1[[#This Row],[Serv. Culturales Derecho Hab Publ]:[Soci Comedores Pensionados Jubl]])</f>
        <v>1176</v>
      </c>
    </row>
    <row r="437" spans="1:12" x14ac:dyDescent="0.3">
      <c r="A437" s="2">
        <v>2023</v>
      </c>
      <c r="B437" t="s">
        <v>21</v>
      </c>
      <c r="C437" s="2">
        <v>353</v>
      </c>
      <c r="D437" s="2">
        <v>263</v>
      </c>
      <c r="E437" s="2">
        <v>0</v>
      </c>
      <c r="F437" s="2">
        <v>0</v>
      </c>
      <c r="G437" s="2">
        <v>211</v>
      </c>
      <c r="H437" s="2">
        <v>217</v>
      </c>
      <c r="I437" s="2">
        <v>106</v>
      </c>
      <c r="J437" s="2">
        <v>0</v>
      </c>
      <c r="K437" s="1">
        <v>44927</v>
      </c>
      <c r="L437" s="2">
        <f>SUM(Tabla1[[#This Row],[Serv. Culturales Derecho Hab Publ]:[Soci Comedores Pensionados Jubl]])</f>
        <v>1150</v>
      </c>
    </row>
    <row r="438" spans="1:12" x14ac:dyDescent="0.3">
      <c r="A438" s="2">
        <v>2023</v>
      </c>
      <c r="B438" t="s">
        <v>49</v>
      </c>
      <c r="C438" s="2">
        <v>317</v>
      </c>
      <c r="D438" s="2">
        <v>217</v>
      </c>
      <c r="E438" s="2">
        <v>0</v>
      </c>
      <c r="F438" s="2">
        <v>46</v>
      </c>
      <c r="G438" s="2">
        <v>281</v>
      </c>
      <c r="H438" s="2">
        <v>195</v>
      </c>
      <c r="I438" s="2">
        <v>74</v>
      </c>
      <c r="J438" s="2">
        <v>0</v>
      </c>
      <c r="K438" s="1">
        <v>44927</v>
      </c>
      <c r="L438" s="2">
        <f>SUM(Tabla1[[#This Row],[Serv. Culturales Derecho Hab Publ]:[Soci Comedores Pensionados Jubl]])</f>
        <v>1130</v>
      </c>
    </row>
    <row r="439" spans="1:12" x14ac:dyDescent="0.3">
      <c r="A439" s="2">
        <v>2022</v>
      </c>
      <c r="B439" t="s">
        <v>49</v>
      </c>
      <c r="C439" s="2">
        <v>201</v>
      </c>
      <c r="D439" s="2">
        <v>206</v>
      </c>
      <c r="E439" s="2">
        <v>0</v>
      </c>
      <c r="F439" s="2">
        <v>39</v>
      </c>
      <c r="G439" s="2">
        <v>360</v>
      </c>
      <c r="H439" s="2">
        <v>308</v>
      </c>
      <c r="I439" s="2">
        <v>0</v>
      </c>
      <c r="J439" s="2">
        <v>0</v>
      </c>
      <c r="K439" s="1">
        <v>44562</v>
      </c>
      <c r="L439" s="2">
        <f>SUM(Tabla1[[#This Row],[Serv. Culturales Derecho Hab Publ]:[Soci Comedores Pensionados Jubl]])</f>
        <v>1114</v>
      </c>
    </row>
    <row r="440" spans="1:12" x14ac:dyDescent="0.3">
      <c r="A440" s="2">
        <v>2023</v>
      </c>
      <c r="B440" t="s">
        <v>16</v>
      </c>
      <c r="C440" s="2">
        <v>75</v>
      </c>
      <c r="D440" s="2">
        <v>308</v>
      </c>
      <c r="E440" s="2">
        <v>2</v>
      </c>
      <c r="F440" s="2">
        <v>125</v>
      </c>
      <c r="G440" s="2">
        <v>371</v>
      </c>
      <c r="H440" s="2">
        <v>146</v>
      </c>
      <c r="I440" s="2">
        <v>44</v>
      </c>
      <c r="J440" s="2">
        <v>0</v>
      </c>
      <c r="K440" s="1">
        <v>44927</v>
      </c>
      <c r="L440" s="2">
        <f>SUM(Tabla1[[#This Row],[Serv. Culturales Derecho Hab Publ]:[Soci Comedores Pensionados Jubl]])</f>
        <v>1071</v>
      </c>
    </row>
    <row r="441" spans="1:12" x14ac:dyDescent="0.3">
      <c r="A441" s="2">
        <v>2025</v>
      </c>
      <c r="B441" t="s">
        <v>0</v>
      </c>
      <c r="C441" s="2">
        <v>205</v>
      </c>
      <c r="D441" s="2">
        <v>439</v>
      </c>
      <c r="E441" s="2">
        <v>3</v>
      </c>
      <c r="F441" s="2">
        <v>12</v>
      </c>
      <c r="G441" s="2">
        <v>47</v>
      </c>
      <c r="H441" s="2">
        <v>253</v>
      </c>
      <c r="I441" s="2">
        <v>38</v>
      </c>
      <c r="J441" s="2">
        <v>0</v>
      </c>
      <c r="K441" s="1">
        <v>45658</v>
      </c>
      <c r="L441" s="2">
        <f>SUM(Tabla1[[#This Row],[Serv. Culturales Derecho Hab Publ]:[Soci Comedores Pensionados Jubl]])</f>
        <v>997</v>
      </c>
    </row>
    <row r="442" spans="1:12" x14ac:dyDescent="0.3">
      <c r="A442" s="2">
        <v>2025</v>
      </c>
      <c r="B442" t="s">
        <v>15</v>
      </c>
      <c r="C442" s="2">
        <v>108</v>
      </c>
      <c r="D442" s="2">
        <v>301</v>
      </c>
      <c r="E442" s="2">
        <v>0</v>
      </c>
      <c r="F442" s="2">
        <v>0</v>
      </c>
      <c r="G442" s="2">
        <v>320</v>
      </c>
      <c r="H442" s="2">
        <v>262</v>
      </c>
      <c r="I442" s="2">
        <v>2</v>
      </c>
      <c r="J442" s="2">
        <v>0</v>
      </c>
      <c r="K442" s="1">
        <v>45658</v>
      </c>
      <c r="L442" s="2">
        <f>SUM(Tabla1[[#This Row],[Serv. Culturales Derecho Hab Publ]:[Soci Comedores Pensionados Jubl]])</f>
        <v>993</v>
      </c>
    </row>
    <row r="443" spans="1:12" x14ac:dyDescent="0.3">
      <c r="A443" s="2">
        <v>2025</v>
      </c>
      <c r="B443" t="s">
        <v>6</v>
      </c>
      <c r="C443" s="2">
        <v>57</v>
      </c>
      <c r="D443" s="2">
        <v>476</v>
      </c>
      <c r="E443" s="2">
        <v>0</v>
      </c>
      <c r="F443" s="2">
        <v>0</v>
      </c>
      <c r="G443" s="2">
        <v>352</v>
      </c>
      <c r="H443" s="2">
        <v>36</v>
      </c>
      <c r="I443" s="2">
        <v>35</v>
      </c>
      <c r="J443" s="2">
        <v>0</v>
      </c>
      <c r="K443" s="1">
        <v>45658</v>
      </c>
      <c r="L443" s="2">
        <f>SUM(Tabla1[[#This Row],[Serv. Culturales Derecho Hab Publ]:[Soci Comedores Pensionados Jubl]])</f>
        <v>956</v>
      </c>
    </row>
    <row r="444" spans="1:12" x14ac:dyDescent="0.3">
      <c r="A444" s="2">
        <v>2024</v>
      </c>
      <c r="B444" t="s">
        <v>9</v>
      </c>
      <c r="C444" s="2">
        <v>94</v>
      </c>
      <c r="D444" s="2">
        <v>562</v>
      </c>
      <c r="E444" s="2">
        <v>104</v>
      </c>
      <c r="F444" s="2">
        <v>6</v>
      </c>
      <c r="G444" s="2">
        <v>38</v>
      </c>
      <c r="H444" s="2">
        <v>95</v>
      </c>
      <c r="I444" s="2">
        <v>26</v>
      </c>
      <c r="J444" s="2">
        <v>0</v>
      </c>
      <c r="K444" s="1">
        <v>45292</v>
      </c>
      <c r="L444" s="2">
        <f>SUM(Tabla1[[#This Row],[Serv. Culturales Derecho Hab Publ]:[Soci Comedores Pensionados Jubl]])</f>
        <v>925</v>
      </c>
    </row>
    <row r="445" spans="1:12" x14ac:dyDescent="0.3">
      <c r="A445" s="2">
        <v>2021</v>
      </c>
      <c r="B445" t="s">
        <v>24</v>
      </c>
      <c r="C445" s="2">
        <v>7</v>
      </c>
      <c r="D445" s="2">
        <v>913</v>
      </c>
      <c r="E445" s="2">
        <v>0</v>
      </c>
      <c r="F445" s="2">
        <v>0</v>
      </c>
      <c r="G445" s="2">
        <v>0</v>
      </c>
      <c r="H445" s="2">
        <v>1</v>
      </c>
      <c r="I445" s="2">
        <v>0</v>
      </c>
      <c r="J445" s="2">
        <v>0</v>
      </c>
      <c r="K445" s="1">
        <v>44197</v>
      </c>
      <c r="L445" s="2">
        <f>SUM(Tabla1[[#This Row],[Serv. Culturales Derecho Hab Publ]:[Soci Comedores Pensionados Jubl]])</f>
        <v>921</v>
      </c>
    </row>
    <row r="446" spans="1:12" x14ac:dyDescent="0.3">
      <c r="A446" s="2">
        <v>2025</v>
      </c>
      <c r="B446" t="s">
        <v>10</v>
      </c>
      <c r="C446" s="2">
        <v>96</v>
      </c>
      <c r="D446" s="2">
        <v>252</v>
      </c>
      <c r="E446" s="2">
        <v>0</v>
      </c>
      <c r="F446" s="2">
        <v>13</v>
      </c>
      <c r="G446" s="2">
        <v>503</v>
      </c>
      <c r="H446" s="2">
        <v>55</v>
      </c>
      <c r="I446" s="2">
        <v>0</v>
      </c>
      <c r="J446" s="2">
        <v>0</v>
      </c>
      <c r="K446" s="1">
        <v>45658</v>
      </c>
      <c r="L446" s="2">
        <f>SUM(Tabla1[[#This Row],[Serv. Culturales Derecho Hab Publ]:[Soci Comedores Pensionados Jubl]])</f>
        <v>919</v>
      </c>
    </row>
    <row r="447" spans="1:12" x14ac:dyDescent="0.3">
      <c r="A447" s="2">
        <v>2022</v>
      </c>
      <c r="B447" t="s">
        <v>33</v>
      </c>
      <c r="C447" s="2">
        <v>204</v>
      </c>
      <c r="D447" s="2">
        <v>146</v>
      </c>
      <c r="E447" s="2">
        <v>212</v>
      </c>
      <c r="F447" s="2">
        <v>10</v>
      </c>
      <c r="G447" s="2">
        <v>125</v>
      </c>
      <c r="H447" s="2">
        <v>138</v>
      </c>
      <c r="I447" s="2">
        <v>77</v>
      </c>
      <c r="J447" s="2">
        <v>0</v>
      </c>
      <c r="K447" s="1">
        <v>44562</v>
      </c>
      <c r="L447" s="2">
        <f>SUM(Tabla1[[#This Row],[Serv. Culturales Derecho Hab Publ]:[Soci Comedores Pensionados Jubl]])</f>
        <v>912</v>
      </c>
    </row>
    <row r="448" spans="1:12" x14ac:dyDescent="0.3">
      <c r="A448" s="2">
        <v>2024</v>
      </c>
      <c r="B448" t="s">
        <v>16</v>
      </c>
      <c r="C448" s="2">
        <v>59</v>
      </c>
      <c r="D448" s="2">
        <v>299</v>
      </c>
      <c r="E448" s="2">
        <v>0</v>
      </c>
      <c r="F448" s="2">
        <v>115</v>
      </c>
      <c r="G448" s="2">
        <v>264</v>
      </c>
      <c r="H448" s="2">
        <v>138</v>
      </c>
      <c r="I448" s="2">
        <v>22</v>
      </c>
      <c r="J448" s="2">
        <v>0</v>
      </c>
      <c r="K448" s="1">
        <v>45292</v>
      </c>
      <c r="L448" s="2">
        <f>SUM(Tabla1[[#This Row],[Serv. Culturales Derecho Hab Publ]:[Soci Comedores Pensionados Jubl]])</f>
        <v>897</v>
      </c>
    </row>
    <row r="449" spans="1:12" x14ac:dyDescent="0.3">
      <c r="A449" s="2">
        <v>2021</v>
      </c>
      <c r="B449" t="s">
        <v>13</v>
      </c>
      <c r="C449" s="2">
        <v>366</v>
      </c>
      <c r="D449" s="2">
        <v>176</v>
      </c>
      <c r="E449" s="2">
        <v>68</v>
      </c>
      <c r="F449" s="2">
        <v>2</v>
      </c>
      <c r="G449" s="2">
        <v>129</v>
      </c>
      <c r="H449" s="2">
        <v>0</v>
      </c>
      <c r="I449" s="2">
        <v>148</v>
      </c>
      <c r="J449" s="2">
        <v>0</v>
      </c>
      <c r="K449" s="1">
        <v>44197</v>
      </c>
      <c r="L449" s="2">
        <f>SUM(Tabla1[[#This Row],[Serv. Culturales Derecho Hab Publ]:[Soci Comedores Pensionados Jubl]])</f>
        <v>889</v>
      </c>
    </row>
    <row r="450" spans="1:12" x14ac:dyDescent="0.3">
      <c r="A450" s="2">
        <v>2024</v>
      </c>
      <c r="B450" t="s">
        <v>6</v>
      </c>
      <c r="C450" s="2">
        <v>27</v>
      </c>
      <c r="D450" s="2">
        <v>521</v>
      </c>
      <c r="E450" s="2">
        <v>0</v>
      </c>
      <c r="F450" s="2">
        <v>4</v>
      </c>
      <c r="G450" s="2">
        <v>118</v>
      </c>
      <c r="H450" s="2">
        <v>167</v>
      </c>
      <c r="I450" s="2">
        <v>24</v>
      </c>
      <c r="J450" s="2">
        <v>0</v>
      </c>
      <c r="K450" s="1">
        <v>45292</v>
      </c>
      <c r="L450" s="2">
        <f>SUM(Tabla1[[#This Row],[Serv. Culturales Derecho Hab Publ]:[Soci Comedores Pensionados Jubl]])</f>
        <v>861</v>
      </c>
    </row>
    <row r="451" spans="1:12" x14ac:dyDescent="0.3">
      <c r="A451" s="2">
        <v>2024</v>
      </c>
      <c r="B451" t="s">
        <v>21</v>
      </c>
      <c r="C451" s="2">
        <v>266</v>
      </c>
      <c r="D451" s="2">
        <v>253</v>
      </c>
      <c r="E451" s="2">
        <v>0</v>
      </c>
      <c r="F451" s="2">
        <v>0</v>
      </c>
      <c r="G451" s="2">
        <v>95</v>
      </c>
      <c r="H451" s="2">
        <v>166</v>
      </c>
      <c r="I451" s="2">
        <v>78</v>
      </c>
      <c r="J451" s="2">
        <v>0</v>
      </c>
      <c r="K451" s="1">
        <v>45292</v>
      </c>
      <c r="L451" s="2">
        <f>SUM(Tabla1[[#This Row],[Serv. Culturales Derecho Hab Publ]:[Soci Comedores Pensionados Jubl]])</f>
        <v>858</v>
      </c>
    </row>
    <row r="452" spans="1:12" x14ac:dyDescent="0.3">
      <c r="A452" s="2">
        <v>2025</v>
      </c>
      <c r="B452" t="s">
        <v>14</v>
      </c>
      <c r="C452" s="2">
        <v>153</v>
      </c>
      <c r="D452" s="2">
        <v>168</v>
      </c>
      <c r="E452" s="2">
        <v>0</v>
      </c>
      <c r="F452" s="2">
        <v>2</v>
      </c>
      <c r="G452" s="2">
        <v>241</v>
      </c>
      <c r="H452" s="2">
        <v>191</v>
      </c>
      <c r="I452" s="2">
        <v>72</v>
      </c>
      <c r="J452" s="2">
        <v>0</v>
      </c>
      <c r="K452" s="1">
        <v>45658</v>
      </c>
      <c r="L452" s="2">
        <f>SUM(Tabla1[[#This Row],[Serv. Culturales Derecho Hab Publ]:[Soci Comedores Pensionados Jubl]])</f>
        <v>827</v>
      </c>
    </row>
    <row r="453" spans="1:12" x14ac:dyDescent="0.3">
      <c r="A453" s="2">
        <v>2021</v>
      </c>
      <c r="B453" t="s">
        <v>14</v>
      </c>
      <c r="C453" s="2">
        <v>269</v>
      </c>
      <c r="D453" s="2">
        <v>166</v>
      </c>
      <c r="E453" s="2">
        <v>0</v>
      </c>
      <c r="F453" s="2">
        <v>40</v>
      </c>
      <c r="G453" s="2">
        <v>85</v>
      </c>
      <c r="H453" s="2">
        <v>206</v>
      </c>
      <c r="I453" s="2">
        <v>59</v>
      </c>
      <c r="J453" s="2">
        <v>0</v>
      </c>
      <c r="K453" s="1">
        <v>44197</v>
      </c>
      <c r="L453" s="2">
        <f>SUM(Tabla1[[#This Row],[Serv. Culturales Derecho Hab Publ]:[Soci Comedores Pensionados Jubl]])</f>
        <v>825</v>
      </c>
    </row>
    <row r="454" spans="1:12" x14ac:dyDescent="0.3">
      <c r="A454" s="2">
        <v>2024</v>
      </c>
      <c r="B454" t="s">
        <v>18</v>
      </c>
      <c r="C454" s="2">
        <v>9</v>
      </c>
      <c r="D454" s="2">
        <v>76</v>
      </c>
      <c r="E454" s="2">
        <v>11</v>
      </c>
      <c r="F454" s="2">
        <v>0</v>
      </c>
      <c r="G454" s="2">
        <v>269</v>
      </c>
      <c r="H454" s="2">
        <v>226</v>
      </c>
      <c r="I454" s="2">
        <v>182</v>
      </c>
      <c r="J454" s="2">
        <v>0</v>
      </c>
      <c r="K454" s="1">
        <v>45292</v>
      </c>
      <c r="L454" s="2">
        <f>SUM(Tabla1[[#This Row],[Serv. Culturales Derecho Hab Publ]:[Soci Comedores Pensionados Jubl]])</f>
        <v>773</v>
      </c>
    </row>
    <row r="455" spans="1:12" x14ac:dyDescent="0.3">
      <c r="A455" s="2">
        <v>2022</v>
      </c>
      <c r="B455" t="s">
        <v>32</v>
      </c>
      <c r="C455" s="2">
        <v>113</v>
      </c>
      <c r="D455" s="2">
        <v>241</v>
      </c>
      <c r="E455" s="2">
        <v>0</v>
      </c>
      <c r="F455" s="2">
        <v>7</v>
      </c>
      <c r="G455" s="2">
        <v>200</v>
      </c>
      <c r="H455" s="2">
        <v>176</v>
      </c>
      <c r="I455" s="2">
        <v>7</v>
      </c>
      <c r="J455" s="2">
        <v>0</v>
      </c>
      <c r="K455" s="1">
        <v>44562</v>
      </c>
      <c r="L455" s="2">
        <f>SUM(Tabla1[[#This Row],[Serv. Culturales Derecho Hab Publ]:[Soci Comedores Pensionados Jubl]])</f>
        <v>744</v>
      </c>
    </row>
    <row r="456" spans="1:12" x14ac:dyDescent="0.3">
      <c r="A456" s="2">
        <v>2025</v>
      </c>
      <c r="B456" t="s">
        <v>23</v>
      </c>
      <c r="C456" s="2">
        <v>51</v>
      </c>
      <c r="D456" s="2">
        <v>207</v>
      </c>
      <c r="E456" s="2">
        <v>0</v>
      </c>
      <c r="F456" s="2">
        <v>0</v>
      </c>
      <c r="G456" s="2">
        <v>445</v>
      </c>
      <c r="H456" s="2">
        <v>0</v>
      </c>
      <c r="I456" s="2">
        <v>33</v>
      </c>
      <c r="J456" s="2">
        <v>0</v>
      </c>
      <c r="K456" s="1">
        <v>45658</v>
      </c>
      <c r="L456" s="2">
        <f>SUM(Tabla1[[#This Row],[Serv. Culturales Derecho Hab Publ]:[Soci Comedores Pensionados Jubl]])</f>
        <v>736</v>
      </c>
    </row>
    <row r="457" spans="1:12" x14ac:dyDescent="0.3">
      <c r="A457" s="2">
        <v>2025</v>
      </c>
      <c r="B457" t="s">
        <v>19</v>
      </c>
      <c r="C457" s="2">
        <v>28</v>
      </c>
      <c r="D457" s="2">
        <v>204</v>
      </c>
      <c r="E457" s="2">
        <v>0</v>
      </c>
      <c r="F457" s="2">
        <v>3</v>
      </c>
      <c r="G457" s="2">
        <v>257</v>
      </c>
      <c r="H457" s="2">
        <v>131</v>
      </c>
      <c r="I457" s="2">
        <v>65</v>
      </c>
      <c r="J457" s="2">
        <v>0</v>
      </c>
      <c r="K457" s="1">
        <v>45658</v>
      </c>
      <c r="L457" s="2">
        <f>SUM(Tabla1[[#This Row],[Serv. Culturales Derecho Hab Publ]:[Soci Comedores Pensionados Jubl]])</f>
        <v>688</v>
      </c>
    </row>
    <row r="458" spans="1:12" x14ac:dyDescent="0.3">
      <c r="A458" s="2">
        <v>2021</v>
      </c>
      <c r="B458" t="s">
        <v>49</v>
      </c>
      <c r="C458" s="2">
        <v>11</v>
      </c>
      <c r="D458" s="2">
        <v>299</v>
      </c>
      <c r="E458" s="2">
        <v>0</v>
      </c>
      <c r="F458" s="2">
        <v>0</v>
      </c>
      <c r="G458" s="2">
        <v>216</v>
      </c>
      <c r="H458" s="2">
        <v>148</v>
      </c>
      <c r="I458" s="2">
        <v>9</v>
      </c>
      <c r="J458" s="2">
        <v>0</v>
      </c>
      <c r="K458" s="1">
        <v>44197</v>
      </c>
      <c r="L458" s="2">
        <f>SUM(Tabla1[[#This Row],[Serv. Culturales Derecho Hab Publ]:[Soci Comedores Pensionados Jubl]])</f>
        <v>683</v>
      </c>
    </row>
    <row r="459" spans="1:12" x14ac:dyDescent="0.3">
      <c r="A459" s="2">
        <v>2025</v>
      </c>
      <c r="B459" t="s">
        <v>48</v>
      </c>
      <c r="C459" s="2">
        <v>78</v>
      </c>
      <c r="D459" s="2">
        <v>183</v>
      </c>
      <c r="E459" s="2">
        <v>10</v>
      </c>
      <c r="F459" s="2">
        <v>220</v>
      </c>
      <c r="G459" s="2">
        <v>68</v>
      </c>
      <c r="H459" s="2">
        <v>109</v>
      </c>
      <c r="I459" s="2">
        <v>7</v>
      </c>
      <c r="J459" s="2">
        <v>0</v>
      </c>
      <c r="K459" s="1">
        <v>45658</v>
      </c>
      <c r="L459" s="2">
        <f>SUM(Tabla1[[#This Row],[Serv. Culturales Derecho Hab Publ]:[Soci Comedores Pensionados Jubl]])</f>
        <v>675</v>
      </c>
    </row>
    <row r="460" spans="1:12" x14ac:dyDescent="0.3">
      <c r="A460" s="2">
        <v>2025</v>
      </c>
      <c r="B460" t="s">
        <v>22</v>
      </c>
      <c r="C460" s="2">
        <v>106</v>
      </c>
      <c r="D460" s="2">
        <v>145</v>
      </c>
      <c r="E460" s="2">
        <v>4</v>
      </c>
      <c r="F460" s="2">
        <v>42</v>
      </c>
      <c r="G460" s="2">
        <v>147</v>
      </c>
      <c r="H460" s="2">
        <v>180</v>
      </c>
      <c r="I460" s="2">
        <v>43</v>
      </c>
      <c r="J460" s="2">
        <v>0</v>
      </c>
      <c r="K460" s="1">
        <v>45658</v>
      </c>
      <c r="L460" s="2">
        <f>SUM(Tabla1[[#This Row],[Serv. Culturales Derecho Hab Publ]:[Soci Comedores Pensionados Jubl]])</f>
        <v>667</v>
      </c>
    </row>
    <row r="461" spans="1:12" x14ac:dyDescent="0.3">
      <c r="A461" s="2">
        <v>2025</v>
      </c>
      <c r="B461" t="s">
        <v>9</v>
      </c>
      <c r="C461" s="2">
        <v>10</v>
      </c>
      <c r="D461" s="2">
        <v>514</v>
      </c>
      <c r="E461" s="2">
        <v>0</v>
      </c>
      <c r="F461" s="2">
        <v>5</v>
      </c>
      <c r="G461" s="2">
        <v>0</v>
      </c>
      <c r="H461" s="2">
        <v>80</v>
      </c>
      <c r="I461" s="2">
        <v>0</v>
      </c>
      <c r="J461" s="2">
        <v>0</v>
      </c>
      <c r="K461" s="1">
        <v>45658</v>
      </c>
      <c r="L461" s="2">
        <f>SUM(Tabla1[[#This Row],[Serv. Culturales Derecho Hab Publ]:[Soci Comedores Pensionados Jubl]])</f>
        <v>609</v>
      </c>
    </row>
    <row r="462" spans="1:12" x14ac:dyDescent="0.3">
      <c r="A462" s="2">
        <v>2025</v>
      </c>
      <c r="B462" t="s">
        <v>50</v>
      </c>
      <c r="C462" s="2">
        <v>93</v>
      </c>
      <c r="D462" s="2">
        <v>144</v>
      </c>
      <c r="E462" s="2">
        <v>0</v>
      </c>
      <c r="F462" s="2">
        <v>124</v>
      </c>
      <c r="G462" s="2">
        <v>49</v>
      </c>
      <c r="H462" s="2">
        <v>169</v>
      </c>
      <c r="I462" s="2">
        <v>0</v>
      </c>
      <c r="J462" s="2">
        <v>0</v>
      </c>
      <c r="K462" s="1">
        <v>45658</v>
      </c>
      <c r="L462" s="2">
        <f>SUM(Tabla1[[#This Row],[Serv. Culturales Derecho Hab Publ]:[Soci Comedores Pensionados Jubl]])</f>
        <v>579</v>
      </c>
    </row>
    <row r="463" spans="1:12" x14ac:dyDescent="0.3">
      <c r="A463" s="2">
        <v>2021</v>
      </c>
      <c r="B463" t="s">
        <v>9</v>
      </c>
      <c r="C463" s="2">
        <v>0</v>
      </c>
      <c r="D463" s="2">
        <v>286</v>
      </c>
      <c r="E463" s="2">
        <v>0</v>
      </c>
      <c r="F463" s="2">
        <v>79</v>
      </c>
      <c r="G463" s="2">
        <v>20</v>
      </c>
      <c r="H463" s="2">
        <v>178</v>
      </c>
      <c r="I463" s="2">
        <v>0</v>
      </c>
      <c r="J463" s="2">
        <v>0</v>
      </c>
      <c r="K463" s="1">
        <v>44197</v>
      </c>
      <c r="L463" s="2">
        <f>SUM(Tabla1[[#This Row],[Serv. Culturales Derecho Hab Publ]:[Soci Comedores Pensionados Jubl]])</f>
        <v>563</v>
      </c>
    </row>
    <row r="464" spans="1:12" x14ac:dyDescent="0.3">
      <c r="A464" s="2">
        <v>2025</v>
      </c>
      <c r="B464" t="s">
        <v>51</v>
      </c>
      <c r="C464" s="2">
        <v>27</v>
      </c>
      <c r="D464" s="2">
        <v>87</v>
      </c>
      <c r="E464" s="2">
        <v>24</v>
      </c>
      <c r="F464" s="2">
        <v>78</v>
      </c>
      <c r="G464" s="2">
        <v>183</v>
      </c>
      <c r="H464" s="2">
        <v>107</v>
      </c>
      <c r="I464" s="2">
        <v>47</v>
      </c>
      <c r="J464" s="2">
        <v>0</v>
      </c>
      <c r="K464" s="1">
        <v>45658</v>
      </c>
      <c r="L464" s="2">
        <f>SUM(Tabla1[[#This Row],[Serv. Culturales Derecho Hab Publ]:[Soci Comedores Pensionados Jubl]])</f>
        <v>553</v>
      </c>
    </row>
    <row r="465" spans="1:12" x14ac:dyDescent="0.3">
      <c r="A465" s="2">
        <v>2025</v>
      </c>
      <c r="B465" t="s">
        <v>13</v>
      </c>
      <c r="C465" s="2">
        <v>264</v>
      </c>
      <c r="D465" s="2">
        <v>166</v>
      </c>
      <c r="E465" s="2">
        <v>0</v>
      </c>
      <c r="F465" s="2">
        <v>0</v>
      </c>
      <c r="G465" s="2">
        <v>65</v>
      </c>
      <c r="H465" s="2">
        <v>50</v>
      </c>
      <c r="I465" s="2">
        <v>0</v>
      </c>
      <c r="J465" s="2">
        <v>0</v>
      </c>
      <c r="K465" s="1">
        <v>45658</v>
      </c>
      <c r="L465" s="2">
        <f>SUM(Tabla1[[#This Row],[Serv. Culturales Derecho Hab Publ]:[Soci Comedores Pensionados Jubl]])</f>
        <v>545</v>
      </c>
    </row>
    <row r="466" spans="1:12" x14ac:dyDescent="0.3">
      <c r="A466" s="2">
        <v>2021</v>
      </c>
      <c r="B466" t="s">
        <v>32</v>
      </c>
      <c r="C466" s="2">
        <v>79</v>
      </c>
      <c r="D466" s="2">
        <v>184</v>
      </c>
      <c r="E466" s="2">
        <v>0</v>
      </c>
      <c r="F466" s="2">
        <v>51</v>
      </c>
      <c r="G466" s="2">
        <v>145</v>
      </c>
      <c r="H466" s="2">
        <v>67</v>
      </c>
      <c r="I466" s="2">
        <v>0</v>
      </c>
      <c r="J466" s="2">
        <v>0</v>
      </c>
      <c r="K466" s="1">
        <v>44197</v>
      </c>
      <c r="L466" s="2">
        <f>SUM(Tabla1[[#This Row],[Serv. Culturales Derecho Hab Publ]:[Soci Comedores Pensionados Jubl]])</f>
        <v>526</v>
      </c>
    </row>
    <row r="467" spans="1:12" x14ac:dyDescent="0.3">
      <c r="A467" s="2">
        <v>2023</v>
      </c>
      <c r="B467" t="s">
        <v>33</v>
      </c>
      <c r="C467" s="2">
        <v>67</v>
      </c>
      <c r="D467" s="2">
        <v>47</v>
      </c>
      <c r="E467" s="2">
        <v>73</v>
      </c>
      <c r="F467" s="2">
        <v>45</v>
      </c>
      <c r="G467" s="2">
        <v>237</v>
      </c>
      <c r="H467" s="2">
        <v>3</v>
      </c>
      <c r="I467" s="2">
        <v>41</v>
      </c>
      <c r="J467" s="2">
        <v>0</v>
      </c>
      <c r="K467" s="1">
        <v>44927</v>
      </c>
      <c r="L467" s="2">
        <f>SUM(Tabla1[[#This Row],[Serv. Culturales Derecho Hab Publ]:[Soci Comedores Pensionados Jubl]])</f>
        <v>513</v>
      </c>
    </row>
    <row r="468" spans="1:12" x14ac:dyDescent="0.3">
      <c r="A468" s="2">
        <v>2025</v>
      </c>
      <c r="B468" t="s">
        <v>4</v>
      </c>
      <c r="C468" s="2">
        <v>110</v>
      </c>
      <c r="D468" s="2">
        <v>109</v>
      </c>
      <c r="E468" s="2">
        <v>0</v>
      </c>
      <c r="F468" s="2">
        <v>0</v>
      </c>
      <c r="G468" s="2">
        <v>207</v>
      </c>
      <c r="H468" s="2">
        <v>81</v>
      </c>
      <c r="I468" s="2">
        <v>0</v>
      </c>
      <c r="J468" s="2">
        <v>0</v>
      </c>
      <c r="K468" s="1">
        <v>45658</v>
      </c>
      <c r="L468" s="2">
        <f>SUM(Tabla1[[#This Row],[Serv. Culturales Derecho Hab Publ]:[Soci Comedores Pensionados Jubl]])</f>
        <v>507</v>
      </c>
    </row>
    <row r="469" spans="1:12" x14ac:dyDescent="0.3">
      <c r="A469" s="2">
        <v>2025</v>
      </c>
      <c r="B469" t="s">
        <v>16</v>
      </c>
      <c r="C469" s="2">
        <v>39</v>
      </c>
      <c r="D469" s="2">
        <v>177</v>
      </c>
      <c r="E469" s="2">
        <v>0</v>
      </c>
      <c r="F469" s="2">
        <v>37</v>
      </c>
      <c r="G469" s="2">
        <v>187</v>
      </c>
      <c r="H469" s="2">
        <v>37</v>
      </c>
      <c r="I469" s="2">
        <v>29</v>
      </c>
      <c r="J469" s="2">
        <v>0</v>
      </c>
      <c r="K469" s="1">
        <v>45658</v>
      </c>
      <c r="L469" s="2">
        <f>SUM(Tabla1[[#This Row],[Serv. Culturales Derecho Hab Publ]:[Soci Comedores Pensionados Jubl]])</f>
        <v>506</v>
      </c>
    </row>
    <row r="470" spans="1:12" x14ac:dyDescent="0.3">
      <c r="A470" s="2">
        <v>2021</v>
      </c>
      <c r="B470" t="s">
        <v>0</v>
      </c>
      <c r="C470" s="2">
        <v>43</v>
      </c>
      <c r="D470" s="2">
        <v>386</v>
      </c>
      <c r="E470" s="2">
        <v>0</v>
      </c>
      <c r="F470" s="2">
        <v>16</v>
      </c>
      <c r="G470" s="2">
        <v>1</v>
      </c>
      <c r="H470" s="2">
        <v>40</v>
      </c>
      <c r="I470" s="2">
        <v>0</v>
      </c>
      <c r="J470" s="2">
        <v>0</v>
      </c>
      <c r="K470" s="1">
        <v>44197</v>
      </c>
      <c r="L470" s="2">
        <f>SUM(Tabla1[[#This Row],[Serv. Culturales Derecho Hab Publ]:[Soci Comedores Pensionados Jubl]])</f>
        <v>486</v>
      </c>
    </row>
    <row r="471" spans="1:12" x14ac:dyDescent="0.3">
      <c r="A471" s="2">
        <v>2025</v>
      </c>
      <c r="B471" t="s">
        <v>11</v>
      </c>
      <c r="C471" s="2">
        <v>59</v>
      </c>
      <c r="D471" s="2">
        <v>151</v>
      </c>
      <c r="E471" s="2">
        <v>0</v>
      </c>
      <c r="F471" s="2">
        <v>31</v>
      </c>
      <c r="G471" s="2">
        <v>157</v>
      </c>
      <c r="H471" s="2">
        <v>57</v>
      </c>
      <c r="I471" s="2">
        <v>7</v>
      </c>
      <c r="J471" s="2">
        <v>0</v>
      </c>
      <c r="K471" s="1">
        <v>45658</v>
      </c>
      <c r="L471" s="2">
        <f>SUM(Tabla1[[#This Row],[Serv. Culturales Derecho Hab Publ]:[Soci Comedores Pensionados Jubl]])</f>
        <v>462</v>
      </c>
    </row>
    <row r="472" spans="1:12" x14ac:dyDescent="0.3">
      <c r="A472" s="2">
        <v>2025</v>
      </c>
      <c r="B472" t="s">
        <v>49</v>
      </c>
      <c r="C472" s="2">
        <v>33</v>
      </c>
      <c r="D472" s="2">
        <v>142</v>
      </c>
      <c r="E472" s="2">
        <v>39</v>
      </c>
      <c r="F472" s="2">
        <v>0</v>
      </c>
      <c r="G472" s="2">
        <v>66</v>
      </c>
      <c r="H472" s="2">
        <v>156</v>
      </c>
      <c r="I472" s="2">
        <v>26</v>
      </c>
      <c r="J472" s="2">
        <v>0</v>
      </c>
      <c r="K472" s="1">
        <v>45658</v>
      </c>
      <c r="L472" s="2">
        <f>SUM(Tabla1[[#This Row],[Serv. Culturales Derecho Hab Publ]:[Soci Comedores Pensionados Jubl]])</f>
        <v>462</v>
      </c>
    </row>
    <row r="473" spans="1:12" x14ac:dyDescent="0.3">
      <c r="A473" s="2">
        <v>2025</v>
      </c>
      <c r="B473" t="s">
        <v>7</v>
      </c>
      <c r="C473" s="2">
        <v>137</v>
      </c>
      <c r="D473" s="2">
        <v>159</v>
      </c>
      <c r="E473" s="2">
        <v>0</v>
      </c>
      <c r="F473" s="2">
        <v>0</v>
      </c>
      <c r="G473" s="2">
        <v>55</v>
      </c>
      <c r="H473" s="2">
        <v>89</v>
      </c>
      <c r="I473" s="2">
        <v>6</v>
      </c>
      <c r="J473" s="2">
        <v>0</v>
      </c>
      <c r="K473" s="1">
        <v>45658</v>
      </c>
      <c r="L473" s="2">
        <f>SUM(Tabla1[[#This Row],[Serv. Culturales Derecho Hab Publ]:[Soci Comedores Pensionados Jubl]])</f>
        <v>446</v>
      </c>
    </row>
    <row r="474" spans="1:12" x14ac:dyDescent="0.3">
      <c r="A474" s="2">
        <v>2022</v>
      </c>
      <c r="B474" t="s">
        <v>9</v>
      </c>
      <c r="C474" s="2">
        <v>41</v>
      </c>
      <c r="D474" s="2">
        <v>229</v>
      </c>
      <c r="E474" s="2">
        <v>2</v>
      </c>
      <c r="F474" s="2">
        <v>0</v>
      </c>
      <c r="G474" s="2">
        <v>2</v>
      </c>
      <c r="H474" s="2">
        <v>159</v>
      </c>
      <c r="I474" s="2">
        <v>0</v>
      </c>
      <c r="J474" s="2">
        <v>0</v>
      </c>
      <c r="K474" s="1">
        <v>44562</v>
      </c>
      <c r="L474" s="2">
        <f>SUM(Tabla1[[#This Row],[Serv. Culturales Derecho Hab Publ]:[Soci Comedores Pensionados Jubl]])</f>
        <v>433</v>
      </c>
    </row>
    <row r="475" spans="1:12" x14ac:dyDescent="0.3">
      <c r="A475" s="2">
        <v>2023</v>
      </c>
      <c r="B475" t="s">
        <v>18</v>
      </c>
      <c r="C475" s="2">
        <v>52</v>
      </c>
      <c r="D475" s="2">
        <v>37</v>
      </c>
      <c r="E475" s="2">
        <v>0</v>
      </c>
      <c r="F475" s="2">
        <v>0</v>
      </c>
      <c r="G475" s="2">
        <v>119</v>
      </c>
      <c r="H475" s="2">
        <v>114</v>
      </c>
      <c r="I475" s="2">
        <v>110</v>
      </c>
      <c r="J475" s="2">
        <v>0</v>
      </c>
      <c r="K475" s="1">
        <v>44927</v>
      </c>
      <c r="L475" s="2">
        <f>SUM(Tabla1[[#This Row],[Serv. Culturales Derecho Hab Publ]:[Soci Comedores Pensionados Jubl]])</f>
        <v>432</v>
      </c>
    </row>
    <row r="476" spans="1:12" x14ac:dyDescent="0.3">
      <c r="A476" s="2">
        <v>2025</v>
      </c>
      <c r="B476" t="s">
        <v>33</v>
      </c>
      <c r="C476" s="2">
        <v>85</v>
      </c>
      <c r="D476" s="2">
        <v>99</v>
      </c>
      <c r="E476" s="2">
        <v>50</v>
      </c>
      <c r="F476" s="2">
        <v>36</v>
      </c>
      <c r="G476" s="2">
        <v>75</v>
      </c>
      <c r="H476" s="2">
        <v>7</v>
      </c>
      <c r="I476" s="2">
        <v>54</v>
      </c>
      <c r="J476" s="2">
        <v>0</v>
      </c>
      <c r="K476" s="1">
        <v>45658</v>
      </c>
      <c r="L476" s="2">
        <f>SUM(Tabla1[[#This Row],[Serv. Culturales Derecho Hab Publ]:[Soci Comedores Pensionados Jubl]])</f>
        <v>406</v>
      </c>
    </row>
    <row r="477" spans="1:12" x14ac:dyDescent="0.3">
      <c r="A477" s="2">
        <v>2023</v>
      </c>
      <c r="B477" t="s">
        <v>9</v>
      </c>
      <c r="C477" s="2">
        <v>50</v>
      </c>
      <c r="D477" s="2">
        <v>151</v>
      </c>
      <c r="E477" s="2">
        <v>0</v>
      </c>
      <c r="F477" s="2">
        <v>0</v>
      </c>
      <c r="G477" s="2">
        <v>20</v>
      </c>
      <c r="H477" s="2">
        <v>155</v>
      </c>
      <c r="I477" s="2">
        <v>24</v>
      </c>
      <c r="J477" s="2">
        <v>0</v>
      </c>
      <c r="K477" s="1">
        <v>44927</v>
      </c>
      <c r="L477" s="2">
        <f>SUM(Tabla1[[#This Row],[Serv. Culturales Derecho Hab Publ]:[Soci Comedores Pensionados Jubl]])</f>
        <v>400</v>
      </c>
    </row>
    <row r="478" spans="1:12" x14ac:dyDescent="0.3">
      <c r="A478" s="2">
        <v>2025</v>
      </c>
      <c r="B478" t="s">
        <v>3</v>
      </c>
      <c r="C478" s="2">
        <v>89</v>
      </c>
      <c r="D478" s="2">
        <v>94</v>
      </c>
      <c r="E478" s="2">
        <v>0</v>
      </c>
      <c r="F478" s="2">
        <v>0</v>
      </c>
      <c r="G478" s="2">
        <v>215</v>
      </c>
      <c r="H478" s="2">
        <v>0</v>
      </c>
      <c r="I478" s="2">
        <v>0</v>
      </c>
      <c r="J478" s="2">
        <v>0</v>
      </c>
      <c r="K478" s="1">
        <v>45658</v>
      </c>
      <c r="L478" s="2">
        <f>SUM(Tabla1[[#This Row],[Serv. Culturales Derecho Hab Publ]:[Soci Comedores Pensionados Jubl]])</f>
        <v>398</v>
      </c>
    </row>
    <row r="479" spans="1:12" x14ac:dyDescent="0.3">
      <c r="A479" s="2">
        <v>2025</v>
      </c>
      <c r="B479" t="s">
        <v>18</v>
      </c>
      <c r="C479" s="2">
        <v>14</v>
      </c>
      <c r="D479" s="2">
        <v>151</v>
      </c>
      <c r="E479" s="2">
        <v>0</v>
      </c>
      <c r="F479" s="2">
        <v>0</v>
      </c>
      <c r="G479" s="2">
        <v>56</v>
      </c>
      <c r="H479" s="2">
        <v>136</v>
      </c>
      <c r="I479" s="2">
        <v>25</v>
      </c>
      <c r="J479" s="2">
        <v>0</v>
      </c>
      <c r="K479" s="1">
        <v>45658</v>
      </c>
      <c r="L479" s="2">
        <f>SUM(Tabla1[[#This Row],[Serv. Culturales Derecho Hab Publ]:[Soci Comedores Pensionados Jubl]])</f>
        <v>382</v>
      </c>
    </row>
    <row r="480" spans="1:12" x14ac:dyDescent="0.3">
      <c r="A480" s="2">
        <v>2025</v>
      </c>
      <c r="B480" t="s">
        <v>21</v>
      </c>
      <c r="C480" s="2">
        <v>84</v>
      </c>
      <c r="D480" s="2">
        <v>86</v>
      </c>
      <c r="E480" s="2">
        <v>1</v>
      </c>
      <c r="F480" s="2">
        <v>0</v>
      </c>
      <c r="G480" s="2">
        <v>30</v>
      </c>
      <c r="H480" s="2">
        <v>44</v>
      </c>
      <c r="I480" s="2">
        <v>20</v>
      </c>
      <c r="J480" s="2">
        <v>0</v>
      </c>
      <c r="K480" s="1">
        <v>45658</v>
      </c>
      <c r="L480" s="2">
        <f>SUM(Tabla1[[#This Row],[Serv. Culturales Derecho Hab Publ]:[Soci Comedores Pensionados Jubl]])</f>
        <v>265</v>
      </c>
    </row>
    <row r="481" spans="1:12" x14ac:dyDescent="0.3">
      <c r="A481" s="2">
        <v>2025</v>
      </c>
      <c r="B481" t="s">
        <v>8</v>
      </c>
      <c r="C481" s="2">
        <v>48</v>
      </c>
      <c r="D481" s="2">
        <v>85</v>
      </c>
      <c r="E481" s="2">
        <v>0</v>
      </c>
      <c r="F481" s="2">
        <v>0</v>
      </c>
      <c r="G481" s="2">
        <v>18</v>
      </c>
      <c r="H481" s="2">
        <v>23</v>
      </c>
      <c r="I481" s="2">
        <v>0</v>
      </c>
      <c r="J481" s="2">
        <v>0</v>
      </c>
      <c r="K481" s="1">
        <v>45658</v>
      </c>
      <c r="L481" s="2">
        <f>SUM(Tabla1[[#This Row],[Serv. Culturales Derecho Hab Publ]:[Soci Comedores Pensionados Jubl]])</f>
        <v>174</v>
      </c>
    </row>
    <row r="482" spans="1:12" x14ac:dyDescent="0.3">
      <c r="A482" s="2">
        <v>2022</v>
      </c>
      <c r="B482" t="s">
        <v>18</v>
      </c>
      <c r="C482" s="2">
        <v>46</v>
      </c>
      <c r="D482" s="2">
        <v>4</v>
      </c>
      <c r="E482" s="2">
        <v>23</v>
      </c>
      <c r="F482" s="2">
        <v>0</v>
      </c>
      <c r="G482" s="2">
        <v>30</v>
      </c>
      <c r="H482" s="2">
        <v>39</v>
      </c>
      <c r="I482" s="2">
        <v>29</v>
      </c>
      <c r="J482" s="2">
        <v>0</v>
      </c>
      <c r="K482" s="1">
        <v>44562</v>
      </c>
      <c r="L482" s="2">
        <f>SUM(Tabla1[[#This Row],[Serv. Culturales Derecho Hab Publ]:[Soci Comedores Pensionados Jubl]])</f>
        <v>171</v>
      </c>
    </row>
    <row r="483" spans="1:12" x14ac:dyDescent="0.3">
      <c r="A483" s="2">
        <v>2024</v>
      </c>
      <c r="B483" t="s">
        <v>20</v>
      </c>
      <c r="C483" s="2">
        <v>88</v>
      </c>
      <c r="D483" s="2">
        <v>39</v>
      </c>
      <c r="E483" s="2">
        <v>0</v>
      </c>
      <c r="F483" s="2">
        <v>0</v>
      </c>
      <c r="G483" s="2">
        <v>2</v>
      </c>
      <c r="H483" s="2">
        <v>0</v>
      </c>
      <c r="I483" s="2">
        <v>1</v>
      </c>
      <c r="J483" s="2">
        <v>0</v>
      </c>
      <c r="K483" s="1">
        <v>45292</v>
      </c>
      <c r="L483" s="2">
        <f>SUM(Tabla1[[#This Row],[Serv. Culturales Derecho Hab Publ]:[Soci Comedores Pensionados Jubl]])</f>
        <v>130</v>
      </c>
    </row>
    <row r="484" spans="1:12" x14ac:dyDescent="0.3">
      <c r="A484" s="2">
        <v>2023</v>
      </c>
      <c r="B484" t="s">
        <v>20</v>
      </c>
      <c r="C484" s="2">
        <v>91</v>
      </c>
      <c r="D484" s="2">
        <v>12</v>
      </c>
      <c r="E484" s="2">
        <v>0</v>
      </c>
      <c r="F484" s="2">
        <v>0</v>
      </c>
      <c r="G484" s="2">
        <v>3</v>
      </c>
      <c r="H484" s="2">
        <v>2</v>
      </c>
      <c r="I484" s="2">
        <v>2</v>
      </c>
      <c r="J484" s="2">
        <v>0</v>
      </c>
      <c r="K484" s="1">
        <v>44927</v>
      </c>
      <c r="L484" s="2">
        <f>SUM(Tabla1[[#This Row],[Serv. Culturales Derecho Hab Publ]:[Soci Comedores Pensionados Jubl]])</f>
        <v>110</v>
      </c>
    </row>
    <row r="485" spans="1:12" x14ac:dyDescent="0.3">
      <c r="A485" s="2">
        <v>2022</v>
      </c>
      <c r="B485" t="s">
        <v>20</v>
      </c>
      <c r="C485" s="2">
        <v>61</v>
      </c>
      <c r="D485" s="2">
        <v>16</v>
      </c>
      <c r="E485" s="2">
        <v>0</v>
      </c>
      <c r="F485" s="2">
        <v>12</v>
      </c>
      <c r="G485" s="2">
        <v>1</v>
      </c>
      <c r="H485" s="2">
        <v>5</v>
      </c>
      <c r="I485" s="2">
        <v>4</v>
      </c>
      <c r="J485" s="2">
        <v>0</v>
      </c>
      <c r="K485" s="1">
        <v>44562</v>
      </c>
      <c r="L485" s="2">
        <f>SUM(Tabla1[[#This Row],[Serv. Culturales Derecho Hab Publ]:[Soci Comedores Pensionados Jubl]])</f>
        <v>99</v>
      </c>
    </row>
    <row r="486" spans="1:12" x14ac:dyDescent="0.3">
      <c r="A486" s="2">
        <v>2025</v>
      </c>
      <c r="B486" t="s">
        <v>24</v>
      </c>
      <c r="C486" s="2">
        <v>29</v>
      </c>
      <c r="D486" s="2">
        <v>58</v>
      </c>
      <c r="E486" s="2">
        <v>0</v>
      </c>
      <c r="F486" s="2">
        <v>3</v>
      </c>
      <c r="G486" s="2">
        <v>0</v>
      </c>
      <c r="H486" s="2">
        <v>0</v>
      </c>
      <c r="I486" s="2">
        <v>8</v>
      </c>
      <c r="J486" s="2">
        <v>0</v>
      </c>
      <c r="K486" s="1">
        <v>45658</v>
      </c>
      <c r="L486" s="2">
        <f>SUM(Tabla1[[#This Row],[Serv. Culturales Derecho Hab Publ]:[Soci Comedores Pensionados Jubl]])</f>
        <v>98</v>
      </c>
    </row>
    <row r="487" spans="1:12" x14ac:dyDescent="0.3">
      <c r="A487" s="2">
        <v>2025</v>
      </c>
      <c r="B487" t="s">
        <v>20</v>
      </c>
      <c r="C487" s="2">
        <v>57</v>
      </c>
      <c r="D487" s="2">
        <v>3</v>
      </c>
      <c r="E487" s="2">
        <v>0</v>
      </c>
      <c r="F487" s="2">
        <v>0</v>
      </c>
      <c r="G487" s="2">
        <v>8</v>
      </c>
      <c r="H487" s="2">
        <v>0</v>
      </c>
      <c r="I487" s="2">
        <v>0</v>
      </c>
      <c r="J487" s="2">
        <v>0</v>
      </c>
      <c r="K487" s="1">
        <v>45658</v>
      </c>
      <c r="L487" s="2">
        <f>SUM(Tabla1[[#This Row],[Serv. Culturales Derecho Hab Publ]:[Soci Comedores Pensionados Jubl]])</f>
        <v>68</v>
      </c>
    </row>
    <row r="488" spans="1:12" x14ac:dyDescent="0.3">
      <c r="A488" s="2">
        <v>2025</v>
      </c>
      <c r="B488" t="s">
        <v>1</v>
      </c>
      <c r="C488" s="2">
        <v>13</v>
      </c>
      <c r="D488" s="2">
        <v>36</v>
      </c>
      <c r="E488" s="2">
        <v>0</v>
      </c>
      <c r="F488" s="2">
        <v>0</v>
      </c>
      <c r="G488" s="2">
        <v>10</v>
      </c>
      <c r="H488" s="2">
        <v>5</v>
      </c>
      <c r="I488" s="2">
        <v>0</v>
      </c>
      <c r="J488" s="2">
        <v>0</v>
      </c>
      <c r="K488" s="1">
        <v>45658</v>
      </c>
      <c r="L488" s="2">
        <f>SUM(Tabla1[[#This Row],[Serv. Culturales Derecho Hab Publ]:[Soci Comedores Pensionados Jubl]])</f>
        <v>64</v>
      </c>
    </row>
    <row r="489" spans="1:12" x14ac:dyDescent="0.3">
      <c r="A489" s="2">
        <v>2021</v>
      </c>
      <c r="B489" t="s">
        <v>33</v>
      </c>
      <c r="C489" s="2">
        <v>9</v>
      </c>
      <c r="D489" s="2">
        <v>4</v>
      </c>
      <c r="E489" s="2">
        <v>12</v>
      </c>
      <c r="F489" s="2">
        <v>1</v>
      </c>
      <c r="G489" s="2">
        <v>23</v>
      </c>
      <c r="H489" s="2">
        <v>0</v>
      </c>
      <c r="I489" s="2">
        <v>1</v>
      </c>
      <c r="J489" s="2">
        <v>0</v>
      </c>
      <c r="K489" s="1">
        <v>44197</v>
      </c>
      <c r="L489" s="2">
        <f>SUM(Tabla1[[#This Row],[Serv. Culturales Derecho Hab Publ]:[Soci Comedores Pensionados Jubl]])</f>
        <v>50</v>
      </c>
    </row>
    <row r="490" spans="1:12" x14ac:dyDescent="0.3">
      <c r="A490" s="2">
        <v>2021</v>
      </c>
      <c r="B490" t="s">
        <v>20</v>
      </c>
      <c r="C490" s="2">
        <v>19</v>
      </c>
      <c r="D490" s="2">
        <v>4</v>
      </c>
      <c r="E490" s="2">
        <v>0</v>
      </c>
      <c r="F490" s="2">
        <v>2</v>
      </c>
      <c r="G490" s="2">
        <v>0</v>
      </c>
      <c r="H490" s="2">
        <v>0</v>
      </c>
      <c r="I490" s="2">
        <v>0</v>
      </c>
      <c r="J490" s="2">
        <v>0</v>
      </c>
      <c r="K490" s="1">
        <v>44197</v>
      </c>
      <c r="L490" s="2">
        <f>SUM(Tabla1[[#This Row],[Serv. Culturales Derecho Hab Publ]:[Soci Comedores Pensionados Jubl]])</f>
        <v>25</v>
      </c>
    </row>
    <row r="491" spans="1:12" x14ac:dyDescent="0.3">
      <c r="A491" s="2">
        <v>2020</v>
      </c>
      <c r="B491" t="s">
        <v>31</v>
      </c>
      <c r="C491" s="2">
        <v>0</v>
      </c>
      <c r="D491" s="2">
        <v>0</v>
      </c>
      <c r="E491" s="2">
        <v>0</v>
      </c>
      <c r="F491" s="2">
        <v>0</v>
      </c>
      <c r="G491" s="2">
        <v>0</v>
      </c>
      <c r="H491" s="2">
        <v>0</v>
      </c>
      <c r="I491" s="2">
        <v>0</v>
      </c>
      <c r="J491" s="2">
        <v>0</v>
      </c>
      <c r="K491" s="1">
        <v>43831</v>
      </c>
      <c r="L491" s="2">
        <f>SUM(Tabla1[[#This Row],[Serv. Culturales Derecho Hab Publ]:[Soci Comedores Pensionados Jubl]])</f>
        <v>0</v>
      </c>
    </row>
    <row r="492" spans="1:12" x14ac:dyDescent="0.3">
      <c r="A492" s="2">
        <v>2021</v>
      </c>
      <c r="B492" t="s">
        <v>18</v>
      </c>
      <c r="C492" s="2">
        <v>0</v>
      </c>
      <c r="D492" s="2">
        <v>0</v>
      </c>
      <c r="E492" s="2">
        <v>0</v>
      </c>
      <c r="F492" s="2">
        <v>0</v>
      </c>
      <c r="G492" s="2">
        <v>0</v>
      </c>
      <c r="H492" s="2">
        <v>0</v>
      </c>
      <c r="I492" s="2">
        <v>0</v>
      </c>
      <c r="J492" s="2">
        <v>0</v>
      </c>
      <c r="K492" s="1">
        <v>44197</v>
      </c>
      <c r="L492" s="2">
        <f>SUM(Tabla1[[#This Row],[Serv. Culturales Derecho Hab Publ]:[Soci Comedores Pensionados Jubl]])</f>
        <v>0</v>
      </c>
    </row>
    <row r="493" spans="1:12" x14ac:dyDescent="0.3">
      <c r="A493" s="2">
        <v>2021</v>
      </c>
      <c r="B493" t="s">
        <v>31</v>
      </c>
      <c r="C493" s="2">
        <v>0</v>
      </c>
      <c r="D493" s="2">
        <v>0</v>
      </c>
      <c r="E493" s="2">
        <v>0</v>
      </c>
      <c r="F493" s="2">
        <v>0</v>
      </c>
      <c r="G493" s="2">
        <v>0</v>
      </c>
      <c r="H493" s="2">
        <v>0</v>
      </c>
      <c r="I493" s="2">
        <v>0</v>
      </c>
      <c r="J493" s="2">
        <v>0</v>
      </c>
      <c r="K493" s="1">
        <v>44197</v>
      </c>
      <c r="L493" s="2">
        <f>SUM(Tabla1[[#This Row],[Serv. Culturales Derecho Hab Publ]:[Soci Comedores Pensionados Jubl]])</f>
        <v>0</v>
      </c>
    </row>
    <row r="494" spans="1:12" x14ac:dyDescent="0.3">
      <c r="A494" s="2">
        <v>2025</v>
      </c>
      <c r="B494" t="s">
        <v>17</v>
      </c>
      <c r="C494" s="2">
        <v>0</v>
      </c>
      <c r="D494" s="2">
        <v>0</v>
      </c>
      <c r="E494" s="2">
        <v>0</v>
      </c>
      <c r="F494" s="2">
        <v>0</v>
      </c>
      <c r="G494" s="2">
        <v>0</v>
      </c>
      <c r="H494" s="2">
        <v>0</v>
      </c>
      <c r="I494" s="2">
        <v>0</v>
      </c>
      <c r="J494" s="2">
        <v>0</v>
      </c>
      <c r="K494" s="1">
        <v>45658</v>
      </c>
      <c r="L494" s="2">
        <f>SUM(Tabla1[[#This Row],[Serv. Culturales Derecho Hab Publ]:[Soci Comedores Pensionados Jubl]])</f>
        <v>0</v>
      </c>
    </row>
    <row r="495" spans="1:12" x14ac:dyDescent="0.3">
      <c r="A495" s="2">
        <v>2025</v>
      </c>
      <c r="B495" t="s">
        <v>25</v>
      </c>
      <c r="C495" s="2">
        <v>0</v>
      </c>
      <c r="D495" s="2">
        <v>0</v>
      </c>
      <c r="E495" s="2">
        <v>0</v>
      </c>
      <c r="F495" s="2">
        <v>0</v>
      </c>
      <c r="G495" s="2">
        <v>0</v>
      </c>
      <c r="H495" s="2">
        <v>0</v>
      </c>
      <c r="I495" s="2">
        <v>0</v>
      </c>
      <c r="J495" s="2">
        <v>0</v>
      </c>
      <c r="K495" s="1">
        <v>45658</v>
      </c>
      <c r="L495" s="2">
        <f>SUM(Tabla1[[#This Row],[Serv. Culturales Derecho Hab Publ]:[Soci Comedores Pensionados Jubl]])</f>
        <v>0</v>
      </c>
    </row>
    <row r="496" spans="1:12" x14ac:dyDescent="0.3">
      <c r="F496" s="2"/>
      <c r="J496" s="2"/>
      <c r="L496" s="2"/>
    </row>
    <row r="497" spans="2:499" x14ac:dyDescent="0.3">
      <c r="F497" s="2"/>
      <c r="J497" s="2"/>
      <c r="L497" s="2"/>
    </row>
    <row r="498" spans="2:499" x14ac:dyDescent="0.3">
      <c r="C498" s="2" t="str">
        <f>Tabla1[[#Headers],[Serv. Culturales Derecho Hab Publ]]</f>
        <v>Serv. Culturales Derecho Hab Publ</v>
      </c>
      <c r="D498" s="2" t="str">
        <f>Tabla1[[#Headers],[Serv. Deportivos Derecho Hab Publ]]</f>
        <v>Serv. Deportivos Derecho Hab Publ</v>
      </c>
      <c r="E498" s="2" t="str">
        <f>Tabla1[[#Headers],[Serv. Sociales Derecho Hab Publ]]</f>
        <v>Serv. Sociales Derecho Hab Publ</v>
      </c>
      <c r="F498" s="2" t="str">
        <f>Tabla1[[#Headers],[Serv. Funerarios Derecho Hab Publ]]</f>
        <v>Serv. Funerarios Derecho Hab Publ</v>
      </c>
      <c r="G498" s="2" t="str">
        <f>Tabla1[[#Headers],[Serv. Sociales Pensionados Jubl]]</f>
        <v>Serv. Sociales Pensionados Jubl</v>
      </c>
      <c r="H498" s="2" t="str">
        <f>Tabla1[[#Headers],[Fome Deportivo Pensionados Jubl]]</f>
        <v>Fome Deportivo Pensionados Jubl</v>
      </c>
      <c r="I498" s="2" t="str">
        <f>Tabla1[[#Headers],[Serv. Culturales Pensionados Jubl]]</f>
        <v>Serv. Culturales Pensionados Jubl</v>
      </c>
      <c r="J498" s="2" t="str">
        <f>Tabla1[[#Headers],[Soci Comedores Pensionados Jubl]]</f>
        <v>Soci Comedores Pensionados Jubl</v>
      </c>
    </row>
    <row r="499" spans="2:499" x14ac:dyDescent="0.3">
      <c r="B499" t="s">
        <v>81</v>
      </c>
      <c r="C499" s="2">
        <f>SUM(Tabla1[Serv. Culturales Derecho Hab Publ])</f>
        <v>36375442</v>
      </c>
      <c r="D499" s="2">
        <f>SUM(Tabla1[Serv. Deportivos Derecho Hab Publ])</f>
        <v>11512451</v>
      </c>
      <c r="E499" s="2">
        <f>SUM(Tabla1[Serv. Sociales Derecho Hab Publ])</f>
        <v>661401</v>
      </c>
      <c r="F499" s="2">
        <f>SUM(Tabla1[Serv. Funerarios Derecho Hab Publ])</f>
        <v>322484</v>
      </c>
      <c r="G499" s="2">
        <f>SUM(Tabla1[Serv. Sociales Pensionados Jubl])</f>
        <v>2175717</v>
      </c>
      <c r="H499" s="2">
        <f>SUM(Tabla1[Fome Deportivo Pensionados Jubl])</f>
        <v>1962313</v>
      </c>
      <c r="I499" s="2">
        <f>SUM(Tabla1[Serv. Culturales Pensionados Jubl])</f>
        <v>3250887</v>
      </c>
      <c r="J499" s="2">
        <f>SUM(Tabla1[Soci Comedores Pensionados Jubl])</f>
        <v>654994</v>
      </c>
    </row>
    <row r="505" spans="2:499" x14ac:dyDescent="0.3">
      <c r="B505" t="s">
        <v>82</v>
      </c>
      <c r="C505" s="2" t="s">
        <v>83</v>
      </c>
      <c r="E505" s="8"/>
      <c r="F505" s="9"/>
      <c r="G505" s="10"/>
      <c r="H505" s="9"/>
      <c r="I505" s="10"/>
      <c r="J505" s="9"/>
      <c r="K505" s="10"/>
      <c r="L505" s="9"/>
      <c r="M505" s="10"/>
      <c r="N505" s="9"/>
      <c r="O505" s="10"/>
      <c r="P505" s="9"/>
      <c r="Q505" s="10"/>
      <c r="R505" s="9"/>
      <c r="S505" s="10"/>
      <c r="T505" s="9"/>
      <c r="U505" s="10"/>
      <c r="V505" s="9"/>
      <c r="W505" s="10"/>
      <c r="X505" s="9"/>
      <c r="Y505" s="10"/>
      <c r="Z505" s="9"/>
      <c r="AA505" s="10"/>
      <c r="AB505" s="9"/>
      <c r="AC505" s="10"/>
      <c r="AD505" s="9"/>
      <c r="AE505" s="10"/>
      <c r="AF505" s="9"/>
      <c r="AG505" s="10"/>
      <c r="AH505" s="9"/>
      <c r="AI505" s="10"/>
      <c r="AJ505" s="9"/>
      <c r="AK505" s="10"/>
      <c r="AL505" s="9"/>
      <c r="AM505" s="10"/>
      <c r="AN505" s="9"/>
      <c r="AO505" s="10"/>
      <c r="AP505" s="9"/>
      <c r="AQ505" s="10"/>
      <c r="AR505" s="9"/>
      <c r="AS505" s="10"/>
      <c r="AT505" s="9"/>
      <c r="AU505" s="10"/>
      <c r="AV505" s="9"/>
      <c r="AW505" s="10"/>
      <c r="AX505" s="9"/>
      <c r="AY505" s="10"/>
      <c r="AZ505" s="9"/>
      <c r="BA505" s="10"/>
      <c r="BB505" s="9"/>
      <c r="BC505" s="10"/>
      <c r="BD505" s="9"/>
      <c r="BE505" s="10"/>
      <c r="BF505" s="9"/>
      <c r="BG505" s="10"/>
      <c r="BH505" s="9"/>
      <c r="BI505" s="10"/>
      <c r="BJ505" s="9"/>
      <c r="BK505" s="10"/>
      <c r="BL505" s="9"/>
      <c r="BM505" s="10"/>
      <c r="BN505" s="9"/>
      <c r="BO505" s="10"/>
      <c r="BP505" s="9"/>
      <c r="BQ505" s="10"/>
      <c r="BR505" s="9"/>
      <c r="BS505" s="10"/>
      <c r="BT505" s="9"/>
      <c r="BU505" s="10"/>
      <c r="BV505" s="9"/>
      <c r="BW505" s="10"/>
      <c r="BX505" s="9"/>
      <c r="BY505" s="10"/>
      <c r="BZ505" s="9"/>
      <c r="CA505" s="10"/>
      <c r="CB505" s="9"/>
      <c r="CC505" s="10"/>
      <c r="CD505" s="9"/>
      <c r="CE505" s="10"/>
      <c r="CF505" s="9"/>
      <c r="CG505" s="10"/>
      <c r="CH505" s="9"/>
      <c r="CI505" s="10"/>
      <c r="CJ505" s="9"/>
      <c r="CK505" s="10"/>
      <c r="CL505" s="9"/>
      <c r="CM505" s="10"/>
      <c r="CN505" s="9"/>
      <c r="CO505" s="10"/>
      <c r="CP505" s="9"/>
      <c r="CQ505" s="10"/>
      <c r="CR505" s="9"/>
      <c r="CS505" s="10"/>
      <c r="CT505" s="9"/>
      <c r="CU505" s="10"/>
      <c r="CV505" s="9"/>
      <c r="CW505" s="10"/>
      <c r="CX505" s="9"/>
      <c r="CY505" s="10"/>
      <c r="CZ505" s="9"/>
      <c r="DA505" s="10"/>
      <c r="DB505" s="9"/>
      <c r="DC505" s="10"/>
      <c r="DD505" s="9"/>
      <c r="DE505" s="10"/>
      <c r="DF505" s="9"/>
      <c r="DG505" s="10"/>
      <c r="DH505" s="9"/>
      <c r="DI505" s="10"/>
      <c r="DJ505" s="9"/>
      <c r="DK505" s="10"/>
      <c r="DL505" s="9"/>
      <c r="DM505" s="10"/>
      <c r="DN505" s="9"/>
      <c r="DO505" s="10"/>
      <c r="DP505" s="9"/>
      <c r="DQ505" s="10"/>
      <c r="DR505" s="9"/>
      <c r="DS505" s="10"/>
      <c r="DT505" s="9"/>
      <c r="DU505" s="10"/>
      <c r="DV505" s="9"/>
      <c r="DW505" s="10"/>
      <c r="DX505" s="9"/>
      <c r="DY505" s="10"/>
      <c r="DZ505" s="9"/>
      <c r="EA505" s="10"/>
      <c r="EB505" s="9"/>
      <c r="EC505" s="10"/>
      <c r="ED505" s="9"/>
      <c r="EE505" s="10"/>
      <c r="EF505" s="9"/>
      <c r="EG505" s="10"/>
      <c r="EH505" s="9"/>
      <c r="EI505" s="10"/>
      <c r="EJ505" s="9"/>
      <c r="EK505" s="10"/>
      <c r="EL505" s="9"/>
      <c r="EM505" s="10"/>
      <c r="EN505" s="9"/>
      <c r="EO505" s="10"/>
      <c r="EP505" s="9"/>
      <c r="EQ505" s="10"/>
      <c r="ER505" s="9"/>
      <c r="ES505" s="10"/>
      <c r="ET505" s="9"/>
      <c r="EU505" s="10"/>
      <c r="EV505" s="9"/>
      <c r="EW505" s="10"/>
      <c r="EX505" s="9"/>
      <c r="EY505" s="10"/>
      <c r="EZ505" s="9"/>
      <c r="FA505" s="10"/>
      <c r="FB505" s="9"/>
      <c r="FC505" s="10"/>
      <c r="FD505" s="9"/>
      <c r="FE505" s="10"/>
      <c r="FF505" s="9"/>
      <c r="FG505" s="10"/>
      <c r="FH505" s="9"/>
      <c r="FI505" s="10"/>
      <c r="FJ505" s="9"/>
      <c r="FK505" s="10"/>
      <c r="FL505" s="9"/>
      <c r="FM505" s="10"/>
      <c r="FN505" s="9"/>
      <c r="FO505" s="10"/>
      <c r="FP505" s="9"/>
      <c r="FQ505" s="10"/>
      <c r="FR505" s="9"/>
      <c r="FS505" s="10"/>
      <c r="FT505" s="9"/>
      <c r="FU505" s="10"/>
      <c r="FV505" s="9"/>
      <c r="FW505" s="10"/>
      <c r="FX505" s="9"/>
      <c r="FY505" s="10"/>
      <c r="FZ505" s="9"/>
      <c r="GA505" s="10"/>
      <c r="GB505" s="9"/>
      <c r="GC505" s="10"/>
      <c r="GD505" s="9"/>
      <c r="GE505" s="10"/>
      <c r="GF505" s="9"/>
      <c r="GG505" s="10"/>
      <c r="GH505" s="9"/>
      <c r="GI505" s="10"/>
      <c r="GJ505" s="9"/>
      <c r="GK505" s="10"/>
      <c r="GL505" s="9"/>
      <c r="GM505" s="10"/>
      <c r="GN505" s="9"/>
      <c r="GO505" s="10"/>
      <c r="GP505" s="9"/>
      <c r="GQ505" s="10"/>
      <c r="GR505" s="9"/>
      <c r="GS505" s="10"/>
      <c r="GT505" s="9"/>
      <c r="GU505" s="10"/>
      <c r="GV505" s="9"/>
      <c r="GW505" s="10"/>
      <c r="GX505" s="9"/>
      <c r="GY505" s="10"/>
      <c r="GZ505" s="9"/>
      <c r="HA505" s="10"/>
      <c r="HB505" s="9"/>
      <c r="HC505" s="10"/>
      <c r="HD505" s="9"/>
      <c r="HE505" s="10"/>
      <c r="HF505" s="9"/>
      <c r="HG505" s="10"/>
      <c r="HH505" s="9"/>
      <c r="HI505" s="10"/>
      <c r="HJ505" s="9"/>
      <c r="HK505" s="10"/>
      <c r="HL505" s="9"/>
      <c r="HM505" s="10"/>
      <c r="HN505" s="9"/>
      <c r="HO505" s="10"/>
      <c r="HP505" s="9"/>
      <c r="HQ505" s="10"/>
      <c r="HR505" s="9"/>
      <c r="HS505" s="10"/>
      <c r="HT505" s="9"/>
      <c r="HU505" s="10"/>
      <c r="HV505" s="9"/>
      <c r="HW505" s="10"/>
      <c r="HX505" s="9"/>
      <c r="HY505" s="10"/>
      <c r="HZ505" s="9"/>
      <c r="IA505" s="10"/>
      <c r="IB505" s="9"/>
      <c r="IC505" s="10"/>
      <c r="ID505" s="9"/>
      <c r="IE505" s="10"/>
      <c r="IF505" s="9"/>
      <c r="IG505" s="10"/>
      <c r="IH505" s="9"/>
      <c r="II505" s="10"/>
      <c r="IJ505" s="9"/>
      <c r="IK505" s="10"/>
      <c r="IL505" s="9"/>
      <c r="IM505" s="10"/>
      <c r="IN505" s="9"/>
      <c r="IO505" s="10"/>
      <c r="IP505" s="9"/>
      <c r="IQ505" s="10"/>
      <c r="IR505" s="9"/>
      <c r="IS505" s="10"/>
      <c r="IT505" s="9"/>
      <c r="IU505" s="10"/>
      <c r="IV505" s="9"/>
      <c r="IW505" s="10"/>
      <c r="IX505" s="9"/>
      <c r="IY505" s="10"/>
      <c r="IZ505" s="9"/>
      <c r="JA505" s="10"/>
      <c r="JB505" s="9"/>
      <c r="JC505" s="10"/>
      <c r="JD505" s="9"/>
      <c r="JE505" s="10"/>
      <c r="JF505" s="9"/>
      <c r="JG505" s="10"/>
      <c r="JH505" s="9"/>
      <c r="JI505" s="10"/>
      <c r="JJ505" s="9"/>
      <c r="JK505" s="10"/>
      <c r="JL505" s="9"/>
      <c r="JM505" s="10"/>
      <c r="JN505" s="9"/>
      <c r="JO505" s="10"/>
      <c r="JP505" s="9"/>
      <c r="JQ505" s="10"/>
      <c r="JR505" s="9"/>
      <c r="JS505" s="10"/>
      <c r="JT505" s="9"/>
      <c r="JU505" s="10"/>
      <c r="JV505" s="9"/>
      <c r="JW505" s="10"/>
      <c r="JX505" s="9"/>
      <c r="JY505" s="10"/>
      <c r="JZ505" s="9"/>
      <c r="KA505" s="10"/>
      <c r="KB505" s="9"/>
      <c r="KC505" s="10"/>
      <c r="KD505" s="9"/>
      <c r="KE505" s="10"/>
      <c r="KF505" s="9"/>
      <c r="KG505" s="10"/>
      <c r="KH505" s="9"/>
      <c r="KI505" s="10"/>
      <c r="KJ505" s="9"/>
      <c r="KK505" s="10"/>
      <c r="KL505" s="9"/>
      <c r="KM505" s="10"/>
      <c r="KN505" s="9"/>
      <c r="KO505" s="10"/>
      <c r="KP505" s="9"/>
      <c r="KQ505" s="10"/>
      <c r="KR505" s="9"/>
      <c r="KS505" s="10"/>
      <c r="KT505" s="9"/>
      <c r="KU505" s="10"/>
      <c r="KV505" s="9"/>
      <c r="KW505" s="10"/>
      <c r="KX505" s="9"/>
      <c r="KY505" s="10"/>
      <c r="KZ505" s="9"/>
      <c r="LA505" s="10"/>
      <c r="LB505" s="9"/>
      <c r="LC505" s="10"/>
      <c r="LD505" s="9"/>
      <c r="LE505" s="10"/>
      <c r="LF505" s="9"/>
      <c r="LG505" s="10"/>
      <c r="LH505" s="9"/>
      <c r="LI505" s="10"/>
      <c r="LJ505" s="9"/>
      <c r="LK505" s="10"/>
      <c r="LL505" s="9"/>
      <c r="LM505" s="10"/>
      <c r="LN505" s="9"/>
      <c r="LO505" s="10"/>
      <c r="LP505" s="9"/>
      <c r="LQ505" s="10"/>
      <c r="LR505" s="9"/>
      <c r="LS505" s="10"/>
      <c r="LT505" s="9"/>
      <c r="LU505" s="10"/>
      <c r="LV505" s="9"/>
      <c r="LW505" s="10"/>
      <c r="LX505" s="9"/>
      <c r="LY505" s="10"/>
      <c r="LZ505" s="9"/>
      <c r="MA505" s="10"/>
      <c r="MB505" s="9"/>
      <c r="MC505" s="10"/>
      <c r="MD505" s="9"/>
      <c r="ME505" s="10"/>
      <c r="MF505" s="9"/>
      <c r="MG505" s="10"/>
      <c r="MH505" s="9"/>
      <c r="MI505" s="10"/>
      <c r="MJ505" s="9"/>
      <c r="MK505" s="10"/>
      <c r="ML505" s="9"/>
      <c r="MM505" s="10"/>
      <c r="MN505" s="9"/>
      <c r="MO505" s="10"/>
      <c r="MP505" s="9"/>
      <c r="MQ505" s="10"/>
      <c r="MR505" s="9"/>
      <c r="MS505" s="10"/>
      <c r="MT505" s="9"/>
      <c r="MU505" s="10"/>
      <c r="MV505" s="9"/>
      <c r="MW505" s="10"/>
      <c r="MX505" s="9"/>
      <c r="MY505" s="10"/>
      <c r="MZ505" s="9"/>
      <c r="NA505" s="10"/>
      <c r="NB505" s="9"/>
      <c r="NC505" s="10"/>
      <c r="ND505" s="9"/>
      <c r="NE505" s="10"/>
      <c r="NF505" s="9"/>
      <c r="NG505" s="10"/>
      <c r="NH505" s="9"/>
      <c r="NI505" s="10"/>
      <c r="NJ505" s="9"/>
      <c r="NK505" s="10"/>
      <c r="NL505" s="9"/>
      <c r="NM505" s="10"/>
      <c r="NN505" s="9"/>
      <c r="NO505" s="10"/>
      <c r="NP505" s="9"/>
      <c r="NQ505" s="10"/>
      <c r="NR505" s="9"/>
      <c r="NS505" s="10"/>
      <c r="NT505" s="9"/>
      <c r="NU505" s="10"/>
      <c r="NV505" s="9"/>
      <c r="NW505" s="10"/>
      <c r="NX505" s="9"/>
      <c r="NY505" s="10"/>
      <c r="NZ505" s="9"/>
      <c r="OA505" s="10"/>
      <c r="OB505" s="9"/>
      <c r="OC505" s="10"/>
      <c r="OD505" s="9"/>
      <c r="OE505" s="10"/>
      <c r="OF505" s="9"/>
      <c r="OG505" s="10"/>
      <c r="OH505" s="9"/>
      <c r="OI505" s="10"/>
      <c r="OJ505" s="9"/>
      <c r="OK505" s="10"/>
      <c r="OL505" s="9"/>
      <c r="OM505" s="10"/>
      <c r="ON505" s="9"/>
      <c r="OO505" s="10"/>
      <c r="OP505" s="9"/>
      <c r="OQ505" s="10"/>
      <c r="OR505" s="9"/>
      <c r="OS505" s="10"/>
      <c r="OT505" s="9"/>
      <c r="OU505" s="10"/>
      <c r="OV505" s="9"/>
      <c r="OW505" s="10"/>
      <c r="OX505" s="9"/>
      <c r="OY505" s="10"/>
      <c r="OZ505" s="9"/>
      <c r="PA505" s="10"/>
      <c r="PB505" s="9"/>
      <c r="PC505" s="10"/>
      <c r="PD505" s="9"/>
      <c r="PE505" s="10"/>
      <c r="PF505" s="9"/>
      <c r="PG505" s="10"/>
      <c r="PH505" s="9"/>
      <c r="PI505" s="10"/>
      <c r="PJ505" s="9"/>
      <c r="PK505" s="10"/>
      <c r="PL505" s="9"/>
      <c r="PM505" s="10"/>
      <c r="PN505" s="9"/>
      <c r="PO505" s="10"/>
      <c r="PP505" s="9"/>
      <c r="PQ505" s="10"/>
      <c r="PR505" s="9"/>
      <c r="PS505" s="10"/>
      <c r="PT505" s="9"/>
      <c r="PU505" s="10"/>
      <c r="PV505" s="9"/>
      <c r="PW505" s="10"/>
      <c r="PX505" s="9"/>
      <c r="PY505" s="10"/>
      <c r="PZ505" s="9"/>
      <c r="QA505" s="10"/>
      <c r="QB505" s="9"/>
      <c r="QC505" s="10"/>
      <c r="QD505" s="9"/>
      <c r="QE505" s="10"/>
      <c r="QF505" s="9"/>
      <c r="QG505" s="10"/>
      <c r="QH505" s="9"/>
      <c r="QI505" s="10"/>
      <c r="QJ505" s="9"/>
      <c r="QK505" s="10"/>
      <c r="QL505" s="9"/>
      <c r="QM505" s="10"/>
      <c r="QN505" s="9"/>
      <c r="QO505" s="10"/>
      <c r="QP505" s="9"/>
      <c r="QQ505" s="10"/>
      <c r="QR505" s="9"/>
      <c r="QS505" s="10"/>
      <c r="QT505" s="9"/>
      <c r="QU505" s="10"/>
      <c r="QV505" s="9"/>
      <c r="QW505" s="10"/>
      <c r="QX505" s="9"/>
      <c r="QY505" s="10"/>
      <c r="QZ505" s="9"/>
      <c r="RA505" s="10"/>
      <c r="RB505" s="9"/>
      <c r="RC505" s="10"/>
      <c r="RD505" s="9"/>
      <c r="RE505" s="10"/>
      <c r="RF505" s="9"/>
      <c r="RG505" s="10"/>
      <c r="RH505" s="9"/>
      <c r="RI505" s="10"/>
      <c r="RJ505" s="9"/>
      <c r="RK505" s="10"/>
      <c r="RL505" s="9"/>
      <c r="RM505" s="10"/>
      <c r="RN505" s="9"/>
      <c r="RO505" s="10"/>
      <c r="RP505" s="9"/>
      <c r="RQ505" s="10"/>
      <c r="RR505" s="9"/>
      <c r="RS505" s="10"/>
      <c r="RT505" s="9"/>
      <c r="RU505" s="10"/>
      <c r="RV505" s="9"/>
      <c r="RW505" s="10"/>
      <c r="RX505" s="9"/>
      <c r="RY505" s="10"/>
      <c r="RZ505" s="9"/>
      <c r="SA505" s="10"/>
      <c r="SB505" s="9"/>
      <c r="SC505" s="10"/>
      <c r="SD505" s="9"/>
      <c r="SE505" s="11"/>
    </row>
    <row r="506" spans="2:499" x14ac:dyDescent="0.3">
      <c r="B506" s="2" t="str">
        <f>Tabla1[[#Headers],[Serv. Culturales Derecho Hab Publ]]</f>
        <v>Serv. Culturales Derecho Hab Publ</v>
      </c>
      <c r="C506" s="2">
        <f>SUM(Tabla1[Serv. Culturales Derecho Hab Publ])</f>
        <v>36375442</v>
      </c>
      <c r="E506" s="8"/>
      <c r="F506" s="9"/>
      <c r="G506" s="10"/>
      <c r="H506" s="9"/>
      <c r="I506" s="10"/>
      <c r="J506" s="9"/>
      <c r="K506" s="10"/>
      <c r="L506" s="9"/>
      <c r="M506" s="10"/>
      <c r="N506" s="9"/>
      <c r="O506" s="10"/>
      <c r="P506" s="9"/>
      <c r="Q506" s="10"/>
      <c r="R506" s="9"/>
      <c r="S506" s="10"/>
      <c r="T506" s="9"/>
      <c r="U506" s="10"/>
      <c r="V506" s="9"/>
      <c r="W506" s="10"/>
      <c r="X506" s="9"/>
      <c r="Y506" s="10"/>
      <c r="Z506" s="9"/>
      <c r="AA506" s="10"/>
      <c r="AB506" s="9"/>
      <c r="AC506" s="10"/>
      <c r="AD506" s="9"/>
      <c r="AE506" s="10"/>
      <c r="AF506" s="9"/>
      <c r="AG506" s="10"/>
      <c r="AH506" s="9"/>
      <c r="AI506" s="10"/>
      <c r="AJ506" s="9"/>
      <c r="AK506" s="10"/>
      <c r="AL506" s="9"/>
      <c r="AM506" s="10"/>
      <c r="AN506" s="9"/>
      <c r="AO506" s="10"/>
      <c r="AP506" s="9"/>
      <c r="AQ506" s="10"/>
      <c r="AR506" s="9"/>
      <c r="AS506" s="10"/>
      <c r="AT506" s="9"/>
      <c r="AU506" s="10"/>
      <c r="AV506" s="9"/>
      <c r="AW506" s="10"/>
      <c r="AX506" s="9"/>
      <c r="AY506" s="10"/>
      <c r="AZ506" s="9"/>
      <c r="BA506" s="10"/>
      <c r="BB506" s="9"/>
      <c r="BC506" s="10"/>
      <c r="BD506" s="9"/>
      <c r="BE506" s="10"/>
      <c r="BF506" s="9"/>
      <c r="BG506" s="10"/>
      <c r="BH506" s="9"/>
      <c r="BI506" s="10"/>
      <c r="BJ506" s="9"/>
      <c r="BK506" s="10"/>
      <c r="BL506" s="9"/>
      <c r="BM506" s="10"/>
      <c r="BN506" s="9"/>
      <c r="BO506" s="10"/>
      <c r="BP506" s="9"/>
      <c r="BQ506" s="10"/>
      <c r="BR506" s="9"/>
      <c r="BS506" s="10"/>
      <c r="BT506" s="9"/>
      <c r="BU506" s="10"/>
      <c r="BV506" s="9"/>
      <c r="BW506" s="10"/>
      <c r="BX506" s="9"/>
      <c r="BY506" s="10"/>
      <c r="BZ506" s="9"/>
      <c r="CA506" s="10"/>
      <c r="CB506" s="9"/>
      <c r="CC506" s="10"/>
      <c r="CD506" s="9"/>
      <c r="CE506" s="10"/>
      <c r="CF506" s="9"/>
      <c r="CG506" s="10"/>
      <c r="CH506" s="9"/>
      <c r="CI506" s="10"/>
      <c r="CJ506" s="9"/>
      <c r="CK506" s="10"/>
      <c r="CL506" s="9"/>
      <c r="CM506" s="10"/>
      <c r="CN506" s="9"/>
      <c r="CO506" s="10"/>
      <c r="CP506" s="9"/>
      <c r="CQ506" s="10"/>
      <c r="CR506" s="9"/>
      <c r="CS506" s="10"/>
      <c r="CT506" s="9"/>
      <c r="CU506" s="10"/>
      <c r="CV506" s="9"/>
      <c r="CW506" s="10"/>
      <c r="CX506" s="9"/>
      <c r="CY506" s="10"/>
      <c r="CZ506" s="9"/>
      <c r="DA506" s="10"/>
      <c r="DB506" s="9"/>
      <c r="DC506" s="10"/>
      <c r="DD506" s="9"/>
      <c r="DE506" s="10"/>
      <c r="DF506" s="9"/>
      <c r="DG506" s="10"/>
      <c r="DH506" s="9"/>
      <c r="DI506" s="10"/>
      <c r="DJ506" s="9"/>
      <c r="DK506" s="10"/>
      <c r="DL506" s="9"/>
      <c r="DM506" s="10"/>
      <c r="DN506" s="9"/>
      <c r="DO506" s="10"/>
      <c r="DP506" s="9"/>
      <c r="DQ506" s="10"/>
      <c r="DR506" s="9"/>
      <c r="DS506" s="10"/>
      <c r="DT506" s="9"/>
      <c r="DU506" s="10"/>
      <c r="DV506" s="9"/>
      <c r="DW506" s="10"/>
      <c r="DX506" s="9"/>
      <c r="DY506" s="10"/>
      <c r="DZ506" s="9"/>
      <c r="EA506" s="10"/>
      <c r="EB506" s="9"/>
      <c r="EC506" s="10"/>
      <c r="ED506" s="9"/>
      <c r="EE506" s="10"/>
      <c r="EF506" s="9"/>
      <c r="EG506" s="10"/>
      <c r="EH506" s="9"/>
      <c r="EI506" s="10"/>
      <c r="EJ506" s="9"/>
      <c r="EK506" s="10"/>
      <c r="EL506" s="9"/>
      <c r="EM506" s="10"/>
      <c r="EN506" s="9"/>
      <c r="EO506" s="10"/>
      <c r="EP506" s="9"/>
      <c r="EQ506" s="10"/>
      <c r="ER506" s="9"/>
      <c r="ES506" s="10"/>
      <c r="ET506" s="9"/>
      <c r="EU506" s="10"/>
      <c r="EV506" s="9"/>
      <c r="EW506" s="10"/>
      <c r="EX506" s="9"/>
      <c r="EY506" s="10"/>
      <c r="EZ506" s="9"/>
      <c r="FA506" s="10"/>
      <c r="FB506" s="9"/>
      <c r="FC506" s="10"/>
      <c r="FD506" s="9"/>
      <c r="FE506" s="10"/>
      <c r="FF506" s="9"/>
      <c r="FG506" s="10"/>
      <c r="FH506" s="9"/>
      <c r="FI506" s="10"/>
      <c r="FJ506" s="9"/>
      <c r="FK506" s="10"/>
      <c r="FL506" s="9"/>
      <c r="FM506" s="10"/>
      <c r="FN506" s="9"/>
      <c r="FO506" s="10"/>
      <c r="FP506" s="9"/>
      <c r="FQ506" s="10"/>
      <c r="FR506" s="9"/>
      <c r="FS506" s="10"/>
      <c r="FT506" s="9"/>
      <c r="FU506" s="10"/>
      <c r="FV506" s="9"/>
      <c r="FW506" s="10"/>
      <c r="FX506" s="9"/>
      <c r="FY506" s="10"/>
      <c r="FZ506" s="9"/>
      <c r="GA506" s="10"/>
      <c r="GB506" s="9"/>
      <c r="GC506" s="10"/>
      <c r="GD506" s="9"/>
      <c r="GE506" s="10"/>
      <c r="GF506" s="9"/>
      <c r="GG506" s="10"/>
      <c r="GH506" s="9"/>
      <c r="GI506" s="10"/>
      <c r="GJ506" s="9"/>
      <c r="GK506" s="10"/>
      <c r="GL506" s="9"/>
      <c r="GM506" s="10"/>
      <c r="GN506" s="9"/>
      <c r="GO506" s="10"/>
      <c r="GP506" s="9"/>
      <c r="GQ506" s="10"/>
      <c r="GR506" s="9"/>
      <c r="GS506" s="10"/>
      <c r="GT506" s="9"/>
      <c r="GU506" s="10"/>
      <c r="GV506" s="9"/>
      <c r="GW506" s="10"/>
      <c r="GX506" s="9"/>
      <c r="GY506" s="10"/>
      <c r="GZ506" s="9"/>
      <c r="HA506" s="10"/>
      <c r="HB506" s="9"/>
      <c r="HC506" s="10"/>
      <c r="HD506" s="9"/>
      <c r="HE506" s="10"/>
      <c r="HF506" s="9"/>
      <c r="HG506" s="10"/>
      <c r="HH506" s="9"/>
      <c r="HI506" s="10"/>
      <c r="HJ506" s="9"/>
      <c r="HK506" s="10"/>
      <c r="HL506" s="9"/>
      <c r="HM506" s="10"/>
      <c r="HN506" s="9"/>
      <c r="HO506" s="10"/>
      <c r="HP506" s="9"/>
      <c r="HQ506" s="10"/>
      <c r="HR506" s="9"/>
      <c r="HS506" s="10"/>
      <c r="HT506" s="9"/>
      <c r="HU506" s="10"/>
      <c r="HV506" s="9"/>
      <c r="HW506" s="10"/>
      <c r="HX506" s="9"/>
      <c r="HY506" s="10"/>
      <c r="HZ506" s="9"/>
      <c r="IA506" s="10"/>
      <c r="IB506" s="9"/>
      <c r="IC506" s="10"/>
      <c r="ID506" s="9"/>
      <c r="IE506" s="10"/>
      <c r="IF506" s="9"/>
      <c r="IG506" s="10"/>
      <c r="IH506" s="9"/>
      <c r="II506" s="10"/>
      <c r="IJ506" s="9"/>
      <c r="IK506" s="10"/>
      <c r="IL506" s="9"/>
      <c r="IM506" s="10"/>
      <c r="IN506" s="9"/>
      <c r="IO506" s="10"/>
      <c r="IP506" s="9"/>
      <c r="IQ506" s="10"/>
      <c r="IR506" s="9"/>
      <c r="IS506" s="10"/>
      <c r="IT506" s="9"/>
      <c r="IU506" s="10"/>
      <c r="IV506" s="9"/>
      <c r="IW506" s="10"/>
      <c r="IX506" s="9"/>
      <c r="IY506" s="10"/>
      <c r="IZ506" s="9"/>
      <c r="JA506" s="10"/>
      <c r="JB506" s="9"/>
      <c r="JC506" s="10"/>
      <c r="JD506" s="9"/>
      <c r="JE506" s="10"/>
      <c r="JF506" s="9"/>
      <c r="JG506" s="10"/>
      <c r="JH506" s="9"/>
      <c r="JI506" s="10"/>
      <c r="JJ506" s="9"/>
      <c r="JK506" s="10"/>
      <c r="JL506" s="9"/>
      <c r="JM506" s="10"/>
      <c r="JN506" s="9"/>
      <c r="JO506" s="10"/>
      <c r="JP506" s="9"/>
      <c r="JQ506" s="10"/>
      <c r="JR506" s="9"/>
      <c r="JS506" s="10"/>
      <c r="JT506" s="9"/>
      <c r="JU506" s="10"/>
      <c r="JV506" s="9"/>
      <c r="JW506" s="10"/>
      <c r="JX506" s="9"/>
      <c r="JY506" s="10"/>
      <c r="JZ506" s="9"/>
      <c r="KA506" s="10"/>
      <c r="KB506" s="9"/>
      <c r="KC506" s="10"/>
      <c r="KD506" s="9"/>
      <c r="KE506" s="10"/>
      <c r="KF506" s="9"/>
      <c r="KG506" s="10"/>
      <c r="KH506" s="9"/>
      <c r="KI506" s="10"/>
      <c r="KJ506" s="9"/>
      <c r="KK506" s="10"/>
      <c r="KL506" s="9"/>
      <c r="KM506" s="10"/>
      <c r="KN506" s="9"/>
      <c r="KO506" s="10"/>
      <c r="KP506" s="9"/>
      <c r="KQ506" s="10"/>
      <c r="KR506" s="9"/>
      <c r="KS506" s="10"/>
      <c r="KT506" s="9"/>
      <c r="KU506" s="10"/>
      <c r="KV506" s="9"/>
      <c r="KW506" s="10"/>
      <c r="KX506" s="9"/>
      <c r="KY506" s="10"/>
      <c r="KZ506" s="9"/>
      <c r="LA506" s="10"/>
      <c r="LB506" s="9"/>
      <c r="LC506" s="10"/>
      <c r="LD506" s="9"/>
      <c r="LE506" s="10"/>
      <c r="LF506" s="9"/>
      <c r="LG506" s="10"/>
      <c r="LH506" s="9"/>
      <c r="LI506" s="10"/>
      <c r="LJ506" s="9"/>
      <c r="LK506" s="10"/>
      <c r="LL506" s="9"/>
      <c r="LM506" s="10"/>
      <c r="LN506" s="9"/>
      <c r="LO506" s="10"/>
      <c r="LP506" s="9"/>
      <c r="LQ506" s="10"/>
      <c r="LR506" s="9"/>
      <c r="LS506" s="10"/>
      <c r="LT506" s="9"/>
      <c r="LU506" s="10"/>
      <c r="LV506" s="9"/>
      <c r="LW506" s="10"/>
      <c r="LX506" s="9"/>
      <c r="LY506" s="10"/>
      <c r="LZ506" s="9"/>
      <c r="MA506" s="10"/>
      <c r="MB506" s="9"/>
      <c r="MC506" s="10"/>
      <c r="MD506" s="9"/>
      <c r="ME506" s="10"/>
      <c r="MF506" s="9"/>
      <c r="MG506" s="10"/>
      <c r="MH506" s="9"/>
      <c r="MI506" s="10"/>
      <c r="MJ506" s="9"/>
      <c r="MK506" s="10"/>
      <c r="ML506" s="9"/>
      <c r="MM506" s="10"/>
      <c r="MN506" s="9"/>
      <c r="MO506" s="10"/>
      <c r="MP506" s="9"/>
      <c r="MQ506" s="10"/>
      <c r="MR506" s="9"/>
      <c r="MS506" s="10"/>
      <c r="MT506" s="9"/>
      <c r="MU506" s="10"/>
      <c r="MV506" s="9"/>
      <c r="MW506" s="10"/>
      <c r="MX506" s="9"/>
      <c r="MY506" s="10"/>
      <c r="MZ506" s="9"/>
      <c r="NA506" s="10"/>
      <c r="NB506" s="9"/>
      <c r="NC506" s="10"/>
      <c r="ND506" s="9"/>
      <c r="NE506" s="10"/>
      <c r="NF506" s="9"/>
      <c r="NG506" s="10"/>
      <c r="NH506" s="9"/>
      <c r="NI506" s="10"/>
      <c r="NJ506" s="9"/>
      <c r="NK506" s="10"/>
      <c r="NL506" s="9"/>
      <c r="NM506" s="10"/>
      <c r="NN506" s="9"/>
      <c r="NO506" s="10"/>
      <c r="NP506" s="9"/>
      <c r="NQ506" s="10"/>
      <c r="NR506" s="9"/>
      <c r="NS506" s="10"/>
      <c r="NT506" s="9"/>
      <c r="NU506" s="10"/>
      <c r="NV506" s="9"/>
      <c r="NW506" s="10"/>
      <c r="NX506" s="9"/>
      <c r="NY506" s="10"/>
      <c r="NZ506" s="9"/>
      <c r="OA506" s="10"/>
      <c r="OB506" s="9"/>
      <c r="OC506" s="10"/>
      <c r="OD506" s="9"/>
      <c r="OE506" s="10"/>
      <c r="OF506" s="9"/>
      <c r="OG506" s="10"/>
      <c r="OH506" s="9"/>
      <c r="OI506" s="10"/>
      <c r="OJ506" s="9"/>
      <c r="OK506" s="10"/>
      <c r="OL506" s="9"/>
      <c r="OM506" s="10"/>
      <c r="ON506" s="9"/>
      <c r="OO506" s="10"/>
      <c r="OP506" s="9"/>
      <c r="OQ506" s="10"/>
      <c r="OR506" s="9"/>
      <c r="OS506" s="10"/>
      <c r="OT506" s="9"/>
      <c r="OU506" s="10"/>
      <c r="OV506" s="9"/>
      <c r="OW506" s="10"/>
      <c r="OX506" s="9"/>
      <c r="OY506" s="10"/>
      <c r="OZ506" s="9"/>
      <c r="PA506" s="10"/>
      <c r="PB506" s="9"/>
      <c r="PC506" s="10"/>
      <c r="PD506" s="9"/>
      <c r="PE506" s="10"/>
      <c r="PF506" s="9"/>
      <c r="PG506" s="10"/>
      <c r="PH506" s="9"/>
      <c r="PI506" s="10"/>
      <c r="PJ506" s="9"/>
      <c r="PK506" s="10"/>
      <c r="PL506" s="9"/>
      <c r="PM506" s="10"/>
      <c r="PN506" s="9"/>
      <c r="PO506" s="10"/>
      <c r="PP506" s="9"/>
      <c r="PQ506" s="10"/>
      <c r="PR506" s="9"/>
      <c r="PS506" s="10"/>
      <c r="PT506" s="9"/>
      <c r="PU506" s="10"/>
      <c r="PV506" s="9"/>
      <c r="PW506" s="10"/>
      <c r="PX506" s="9"/>
      <c r="PY506" s="10"/>
      <c r="PZ506" s="9"/>
      <c r="QA506" s="10"/>
      <c r="QB506" s="9"/>
      <c r="QC506" s="10"/>
      <c r="QD506" s="9"/>
      <c r="QE506" s="10"/>
      <c r="QF506" s="9"/>
      <c r="QG506" s="10"/>
      <c r="QH506" s="9"/>
      <c r="QI506" s="10"/>
      <c r="QJ506" s="9"/>
      <c r="QK506" s="10"/>
      <c r="QL506" s="9"/>
      <c r="QM506" s="10"/>
      <c r="QN506" s="9"/>
      <c r="QO506" s="10"/>
      <c r="QP506" s="9"/>
      <c r="QQ506" s="10"/>
      <c r="QR506" s="9"/>
      <c r="QS506" s="10"/>
      <c r="QT506" s="9"/>
      <c r="QU506" s="10"/>
      <c r="QV506" s="9"/>
      <c r="QW506" s="10"/>
      <c r="QX506" s="9"/>
      <c r="QY506" s="10"/>
      <c r="QZ506" s="9"/>
      <c r="RA506" s="10"/>
      <c r="RB506" s="9"/>
      <c r="RC506" s="10"/>
      <c r="RD506" s="9"/>
      <c r="RE506" s="10"/>
      <c r="RF506" s="9"/>
      <c r="RG506" s="10"/>
      <c r="RH506" s="9"/>
      <c r="RI506" s="10"/>
      <c r="RJ506" s="9"/>
      <c r="RK506" s="10"/>
      <c r="RL506" s="9"/>
      <c r="RM506" s="10"/>
      <c r="RN506" s="9"/>
      <c r="RO506" s="10"/>
      <c r="RP506" s="9"/>
      <c r="RQ506" s="10"/>
      <c r="RR506" s="9"/>
      <c r="RS506" s="10"/>
      <c r="RT506" s="9"/>
      <c r="RU506" s="10"/>
      <c r="RV506" s="9"/>
      <c r="RW506" s="10"/>
      <c r="RX506" s="9"/>
      <c r="RY506" s="10"/>
      <c r="RZ506" s="9"/>
      <c r="SA506" s="10"/>
      <c r="SB506" s="9"/>
      <c r="SC506" s="10"/>
      <c r="SD506" s="9"/>
      <c r="SE506" s="11"/>
    </row>
    <row r="507" spans="2:499" x14ac:dyDescent="0.3">
      <c r="B507" s="2" t="str">
        <f>Tabla1[[#Headers],[Serv. Deportivos Derecho Hab Publ]]</f>
        <v>Serv. Deportivos Derecho Hab Publ</v>
      </c>
      <c r="C507" s="2">
        <f>SUM(Tabla1[Serv. Deportivos Derecho Hab Publ])</f>
        <v>11512451</v>
      </c>
      <c r="E507" s="8"/>
      <c r="F507" s="9"/>
      <c r="G507" s="10"/>
      <c r="H507" s="9"/>
      <c r="I507" s="10"/>
      <c r="J507" s="9"/>
      <c r="K507" s="10"/>
      <c r="L507" s="9"/>
      <c r="M507" s="10"/>
      <c r="N507" s="9"/>
      <c r="O507" s="10"/>
      <c r="P507" s="9"/>
      <c r="Q507" s="10"/>
      <c r="R507" s="9"/>
      <c r="S507" s="10"/>
      <c r="T507" s="9"/>
      <c r="U507" s="10"/>
      <c r="V507" s="9"/>
      <c r="W507" s="10"/>
      <c r="X507" s="9"/>
      <c r="Y507" s="10"/>
      <c r="Z507" s="9"/>
      <c r="AA507" s="10"/>
      <c r="AB507" s="9"/>
      <c r="AC507" s="10"/>
      <c r="AD507" s="9"/>
      <c r="AE507" s="10"/>
      <c r="AF507" s="9"/>
      <c r="AG507" s="10"/>
      <c r="AH507" s="9"/>
      <c r="AI507" s="10"/>
      <c r="AJ507" s="9"/>
      <c r="AK507" s="10"/>
      <c r="AL507" s="9"/>
      <c r="AM507" s="10"/>
      <c r="AN507" s="9"/>
      <c r="AO507" s="10"/>
      <c r="AP507" s="9"/>
      <c r="AQ507" s="10"/>
      <c r="AR507" s="9"/>
      <c r="AS507" s="10"/>
      <c r="AT507" s="9"/>
      <c r="AU507" s="10"/>
      <c r="AV507" s="9"/>
      <c r="AW507" s="10"/>
      <c r="AX507" s="9"/>
      <c r="AY507" s="10"/>
      <c r="AZ507" s="9"/>
      <c r="BA507" s="10"/>
      <c r="BB507" s="9"/>
      <c r="BC507" s="10"/>
      <c r="BD507" s="9"/>
      <c r="BE507" s="10"/>
      <c r="BF507" s="9"/>
      <c r="BG507" s="10"/>
      <c r="BH507" s="9"/>
      <c r="BI507" s="10"/>
      <c r="BJ507" s="9"/>
      <c r="BK507" s="10"/>
      <c r="BL507" s="9"/>
      <c r="BM507" s="10"/>
      <c r="BN507" s="9"/>
      <c r="BO507" s="10"/>
      <c r="BP507" s="9"/>
      <c r="BQ507" s="10"/>
      <c r="BR507" s="9"/>
      <c r="BS507" s="10"/>
      <c r="BT507" s="9"/>
      <c r="BU507" s="10"/>
      <c r="BV507" s="9"/>
      <c r="BW507" s="10"/>
      <c r="BX507" s="9"/>
      <c r="BY507" s="10"/>
      <c r="BZ507" s="9"/>
      <c r="CA507" s="10"/>
      <c r="CB507" s="9"/>
      <c r="CC507" s="10"/>
      <c r="CD507" s="9"/>
      <c r="CE507" s="10"/>
      <c r="CF507" s="9"/>
      <c r="CG507" s="10"/>
      <c r="CH507" s="9"/>
      <c r="CI507" s="10"/>
      <c r="CJ507" s="9"/>
      <c r="CK507" s="10"/>
      <c r="CL507" s="9"/>
      <c r="CM507" s="10"/>
      <c r="CN507" s="9"/>
      <c r="CO507" s="10"/>
      <c r="CP507" s="9"/>
      <c r="CQ507" s="10"/>
      <c r="CR507" s="9"/>
      <c r="CS507" s="10"/>
      <c r="CT507" s="9"/>
      <c r="CU507" s="10"/>
      <c r="CV507" s="9"/>
      <c r="CW507" s="10"/>
      <c r="CX507" s="9"/>
      <c r="CY507" s="10"/>
      <c r="CZ507" s="9"/>
      <c r="DA507" s="10"/>
      <c r="DB507" s="9"/>
      <c r="DC507" s="10"/>
      <c r="DD507" s="9"/>
      <c r="DE507" s="10"/>
      <c r="DF507" s="9"/>
      <c r="DG507" s="10"/>
      <c r="DH507" s="9"/>
      <c r="DI507" s="10"/>
      <c r="DJ507" s="9"/>
      <c r="DK507" s="10"/>
      <c r="DL507" s="9"/>
      <c r="DM507" s="10"/>
      <c r="DN507" s="9"/>
      <c r="DO507" s="10"/>
      <c r="DP507" s="9"/>
      <c r="DQ507" s="10"/>
      <c r="DR507" s="9"/>
      <c r="DS507" s="10"/>
      <c r="DT507" s="9"/>
      <c r="DU507" s="10"/>
      <c r="DV507" s="9"/>
      <c r="DW507" s="10"/>
      <c r="DX507" s="9"/>
      <c r="DY507" s="10"/>
      <c r="DZ507" s="9"/>
      <c r="EA507" s="10"/>
      <c r="EB507" s="9"/>
      <c r="EC507" s="10"/>
      <c r="ED507" s="9"/>
      <c r="EE507" s="10"/>
      <c r="EF507" s="9"/>
      <c r="EG507" s="10"/>
      <c r="EH507" s="9"/>
      <c r="EI507" s="10"/>
      <c r="EJ507" s="9"/>
      <c r="EK507" s="10"/>
      <c r="EL507" s="9"/>
      <c r="EM507" s="10"/>
      <c r="EN507" s="9"/>
      <c r="EO507" s="10"/>
      <c r="EP507" s="9"/>
      <c r="EQ507" s="10"/>
      <c r="ER507" s="9"/>
      <c r="ES507" s="10"/>
      <c r="ET507" s="9"/>
      <c r="EU507" s="10"/>
      <c r="EV507" s="9"/>
      <c r="EW507" s="10"/>
      <c r="EX507" s="9"/>
      <c r="EY507" s="10"/>
      <c r="EZ507" s="9"/>
      <c r="FA507" s="10"/>
      <c r="FB507" s="9"/>
      <c r="FC507" s="10"/>
      <c r="FD507" s="9"/>
      <c r="FE507" s="10"/>
      <c r="FF507" s="9"/>
      <c r="FG507" s="10"/>
      <c r="FH507" s="9"/>
      <c r="FI507" s="10"/>
      <c r="FJ507" s="9"/>
      <c r="FK507" s="10"/>
      <c r="FL507" s="9"/>
      <c r="FM507" s="10"/>
      <c r="FN507" s="9"/>
      <c r="FO507" s="10"/>
      <c r="FP507" s="9"/>
      <c r="FQ507" s="10"/>
      <c r="FR507" s="9"/>
      <c r="FS507" s="10"/>
      <c r="FT507" s="9"/>
      <c r="FU507" s="10"/>
      <c r="FV507" s="9"/>
      <c r="FW507" s="10"/>
      <c r="FX507" s="9"/>
      <c r="FY507" s="10"/>
      <c r="FZ507" s="9"/>
      <c r="GA507" s="10"/>
      <c r="GB507" s="9"/>
      <c r="GC507" s="10"/>
      <c r="GD507" s="9"/>
      <c r="GE507" s="10"/>
      <c r="GF507" s="9"/>
      <c r="GG507" s="10"/>
      <c r="GH507" s="9"/>
      <c r="GI507" s="10"/>
      <c r="GJ507" s="9"/>
      <c r="GK507" s="10"/>
      <c r="GL507" s="9"/>
      <c r="GM507" s="10"/>
      <c r="GN507" s="9"/>
      <c r="GO507" s="10"/>
      <c r="GP507" s="9"/>
      <c r="GQ507" s="10"/>
      <c r="GR507" s="9"/>
      <c r="GS507" s="10"/>
      <c r="GT507" s="9"/>
      <c r="GU507" s="10"/>
      <c r="GV507" s="9"/>
      <c r="GW507" s="10"/>
      <c r="GX507" s="9"/>
      <c r="GY507" s="10"/>
      <c r="GZ507" s="9"/>
      <c r="HA507" s="10"/>
      <c r="HB507" s="9"/>
      <c r="HC507" s="10"/>
      <c r="HD507" s="9"/>
      <c r="HE507" s="10"/>
      <c r="HF507" s="9"/>
      <c r="HG507" s="10"/>
      <c r="HH507" s="9"/>
      <c r="HI507" s="10"/>
      <c r="HJ507" s="9"/>
      <c r="HK507" s="10"/>
      <c r="HL507" s="9"/>
      <c r="HM507" s="10"/>
      <c r="HN507" s="9"/>
      <c r="HO507" s="10"/>
      <c r="HP507" s="9"/>
      <c r="HQ507" s="10"/>
      <c r="HR507" s="9"/>
      <c r="HS507" s="10"/>
      <c r="HT507" s="9"/>
      <c r="HU507" s="10"/>
      <c r="HV507" s="9"/>
      <c r="HW507" s="10"/>
      <c r="HX507" s="9"/>
      <c r="HY507" s="10"/>
      <c r="HZ507" s="9"/>
      <c r="IA507" s="10"/>
      <c r="IB507" s="9"/>
      <c r="IC507" s="10"/>
      <c r="ID507" s="9"/>
      <c r="IE507" s="10"/>
      <c r="IF507" s="9"/>
      <c r="IG507" s="10"/>
      <c r="IH507" s="9"/>
      <c r="II507" s="10"/>
      <c r="IJ507" s="9"/>
      <c r="IK507" s="10"/>
      <c r="IL507" s="9"/>
      <c r="IM507" s="10"/>
      <c r="IN507" s="9"/>
      <c r="IO507" s="10"/>
      <c r="IP507" s="9"/>
      <c r="IQ507" s="10"/>
      <c r="IR507" s="9"/>
      <c r="IS507" s="10"/>
      <c r="IT507" s="9"/>
      <c r="IU507" s="10"/>
      <c r="IV507" s="9"/>
      <c r="IW507" s="10"/>
      <c r="IX507" s="9"/>
      <c r="IY507" s="10"/>
      <c r="IZ507" s="9"/>
      <c r="JA507" s="10"/>
      <c r="JB507" s="9"/>
      <c r="JC507" s="10"/>
      <c r="JD507" s="9"/>
      <c r="JE507" s="10"/>
      <c r="JF507" s="9"/>
      <c r="JG507" s="10"/>
      <c r="JH507" s="9"/>
      <c r="JI507" s="10"/>
      <c r="JJ507" s="9"/>
      <c r="JK507" s="10"/>
      <c r="JL507" s="9"/>
      <c r="JM507" s="10"/>
      <c r="JN507" s="9"/>
      <c r="JO507" s="10"/>
      <c r="JP507" s="9"/>
      <c r="JQ507" s="10"/>
      <c r="JR507" s="9"/>
      <c r="JS507" s="10"/>
      <c r="JT507" s="9"/>
      <c r="JU507" s="10"/>
      <c r="JV507" s="9"/>
      <c r="JW507" s="10"/>
      <c r="JX507" s="9"/>
      <c r="JY507" s="10"/>
      <c r="JZ507" s="9"/>
      <c r="KA507" s="10"/>
      <c r="KB507" s="9"/>
      <c r="KC507" s="10"/>
      <c r="KD507" s="9"/>
      <c r="KE507" s="10"/>
      <c r="KF507" s="9"/>
      <c r="KG507" s="10"/>
      <c r="KH507" s="9"/>
      <c r="KI507" s="10"/>
      <c r="KJ507" s="9"/>
      <c r="KK507" s="10"/>
      <c r="KL507" s="9"/>
      <c r="KM507" s="10"/>
      <c r="KN507" s="9"/>
      <c r="KO507" s="10"/>
      <c r="KP507" s="9"/>
      <c r="KQ507" s="10"/>
      <c r="KR507" s="9"/>
      <c r="KS507" s="10"/>
      <c r="KT507" s="9"/>
      <c r="KU507" s="10"/>
      <c r="KV507" s="9"/>
      <c r="KW507" s="10"/>
      <c r="KX507" s="9"/>
      <c r="KY507" s="10"/>
      <c r="KZ507" s="9"/>
      <c r="LA507" s="10"/>
      <c r="LB507" s="9"/>
      <c r="LC507" s="10"/>
      <c r="LD507" s="9"/>
      <c r="LE507" s="10"/>
      <c r="LF507" s="9"/>
      <c r="LG507" s="10"/>
      <c r="LH507" s="9"/>
      <c r="LI507" s="10"/>
      <c r="LJ507" s="9"/>
      <c r="LK507" s="10"/>
      <c r="LL507" s="9"/>
      <c r="LM507" s="10"/>
      <c r="LN507" s="9"/>
      <c r="LO507" s="10"/>
      <c r="LP507" s="9"/>
      <c r="LQ507" s="10"/>
      <c r="LR507" s="9"/>
      <c r="LS507" s="10"/>
      <c r="LT507" s="9"/>
      <c r="LU507" s="10"/>
      <c r="LV507" s="9"/>
      <c r="LW507" s="10"/>
      <c r="LX507" s="9"/>
      <c r="LY507" s="10"/>
      <c r="LZ507" s="9"/>
      <c r="MA507" s="10"/>
      <c r="MB507" s="9"/>
      <c r="MC507" s="10"/>
      <c r="MD507" s="9"/>
      <c r="ME507" s="10"/>
      <c r="MF507" s="9"/>
      <c r="MG507" s="10"/>
      <c r="MH507" s="9"/>
      <c r="MI507" s="10"/>
      <c r="MJ507" s="9"/>
      <c r="MK507" s="10"/>
      <c r="ML507" s="9"/>
      <c r="MM507" s="10"/>
      <c r="MN507" s="9"/>
      <c r="MO507" s="10"/>
      <c r="MP507" s="9"/>
      <c r="MQ507" s="10"/>
      <c r="MR507" s="9"/>
      <c r="MS507" s="10"/>
      <c r="MT507" s="9"/>
      <c r="MU507" s="10"/>
      <c r="MV507" s="9"/>
      <c r="MW507" s="10"/>
      <c r="MX507" s="9"/>
      <c r="MY507" s="10"/>
      <c r="MZ507" s="9"/>
      <c r="NA507" s="10"/>
      <c r="NB507" s="9"/>
      <c r="NC507" s="10"/>
      <c r="ND507" s="9"/>
      <c r="NE507" s="10"/>
      <c r="NF507" s="9"/>
      <c r="NG507" s="10"/>
      <c r="NH507" s="9"/>
      <c r="NI507" s="10"/>
      <c r="NJ507" s="9"/>
      <c r="NK507" s="10"/>
      <c r="NL507" s="9"/>
      <c r="NM507" s="10"/>
      <c r="NN507" s="9"/>
      <c r="NO507" s="10"/>
      <c r="NP507" s="9"/>
      <c r="NQ507" s="10"/>
      <c r="NR507" s="9"/>
      <c r="NS507" s="10"/>
      <c r="NT507" s="9"/>
      <c r="NU507" s="10"/>
      <c r="NV507" s="9"/>
      <c r="NW507" s="10"/>
      <c r="NX507" s="9"/>
      <c r="NY507" s="10"/>
      <c r="NZ507" s="9"/>
      <c r="OA507" s="10"/>
      <c r="OB507" s="9"/>
      <c r="OC507" s="10"/>
      <c r="OD507" s="9"/>
      <c r="OE507" s="10"/>
      <c r="OF507" s="9"/>
      <c r="OG507" s="10"/>
      <c r="OH507" s="9"/>
      <c r="OI507" s="10"/>
      <c r="OJ507" s="9"/>
      <c r="OK507" s="10"/>
      <c r="OL507" s="9"/>
      <c r="OM507" s="10"/>
      <c r="ON507" s="9"/>
      <c r="OO507" s="10"/>
      <c r="OP507" s="9"/>
      <c r="OQ507" s="10"/>
      <c r="OR507" s="9"/>
      <c r="OS507" s="10"/>
      <c r="OT507" s="9"/>
      <c r="OU507" s="10"/>
      <c r="OV507" s="9"/>
      <c r="OW507" s="10"/>
      <c r="OX507" s="9"/>
      <c r="OY507" s="10"/>
      <c r="OZ507" s="9"/>
      <c r="PA507" s="10"/>
      <c r="PB507" s="9"/>
      <c r="PC507" s="10"/>
      <c r="PD507" s="9"/>
      <c r="PE507" s="10"/>
      <c r="PF507" s="9"/>
      <c r="PG507" s="10"/>
      <c r="PH507" s="9"/>
      <c r="PI507" s="10"/>
      <c r="PJ507" s="9"/>
      <c r="PK507" s="10"/>
      <c r="PL507" s="9"/>
      <c r="PM507" s="10"/>
      <c r="PN507" s="9"/>
      <c r="PO507" s="10"/>
      <c r="PP507" s="9"/>
      <c r="PQ507" s="10"/>
      <c r="PR507" s="9"/>
      <c r="PS507" s="10"/>
      <c r="PT507" s="9"/>
      <c r="PU507" s="10"/>
      <c r="PV507" s="9"/>
      <c r="PW507" s="10"/>
      <c r="PX507" s="9"/>
      <c r="PY507" s="10"/>
      <c r="PZ507" s="9"/>
      <c r="QA507" s="10"/>
      <c r="QB507" s="9"/>
      <c r="QC507" s="10"/>
      <c r="QD507" s="9"/>
      <c r="QE507" s="10"/>
      <c r="QF507" s="9"/>
      <c r="QG507" s="10"/>
      <c r="QH507" s="9"/>
      <c r="QI507" s="10"/>
      <c r="QJ507" s="9"/>
      <c r="QK507" s="10"/>
      <c r="QL507" s="9"/>
      <c r="QM507" s="10"/>
      <c r="QN507" s="9"/>
      <c r="QO507" s="10"/>
      <c r="QP507" s="9"/>
      <c r="QQ507" s="10"/>
      <c r="QR507" s="9"/>
      <c r="QS507" s="10"/>
      <c r="QT507" s="9"/>
      <c r="QU507" s="10"/>
      <c r="QV507" s="9"/>
      <c r="QW507" s="10"/>
      <c r="QX507" s="9"/>
      <c r="QY507" s="10"/>
      <c r="QZ507" s="9"/>
      <c r="RA507" s="10"/>
      <c r="RB507" s="9"/>
      <c r="RC507" s="10"/>
      <c r="RD507" s="9"/>
      <c r="RE507" s="10"/>
      <c r="RF507" s="9"/>
      <c r="RG507" s="10"/>
      <c r="RH507" s="9"/>
      <c r="RI507" s="10"/>
      <c r="RJ507" s="9"/>
      <c r="RK507" s="10"/>
      <c r="RL507" s="9"/>
      <c r="RM507" s="10"/>
      <c r="RN507" s="9"/>
      <c r="RO507" s="10"/>
      <c r="RP507" s="9"/>
      <c r="RQ507" s="10"/>
      <c r="RR507" s="9"/>
      <c r="RS507" s="10"/>
      <c r="RT507" s="9"/>
      <c r="RU507" s="10"/>
      <c r="RV507" s="9"/>
      <c r="RW507" s="10"/>
      <c r="RX507" s="9"/>
      <c r="RY507" s="10"/>
      <c r="RZ507" s="9"/>
      <c r="SA507" s="10"/>
      <c r="SB507" s="9"/>
      <c r="SC507" s="10"/>
      <c r="SD507" s="9"/>
      <c r="SE507" s="11"/>
    </row>
    <row r="508" spans="2:499" x14ac:dyDescent="0.3">
      <c r="B508" s="2" t="str">
        <f>Tabla1[[#Headers],[Serv. Sociales Derecho Hab Publ]]</f>
        <v>Serv. Sociales Derecho Hab Publ</v>
      </c>
      <c r="C508" s="2">
        <f>SUM(Tabla1[Serv. Sociales Derecho Hab Publ])</f>
        <v>661401</v>
      </c>
      <c r="E508" s="8"/>
      <c r="F508" s="9"/>
      <c r="G508" s="10"/>
      <c r="H508" s="9"/>
      <c r="I508" s="10"/>
      <c r="J508" s="9"/>
      <c r="K508" s="10"/>
      <c r="L508" s="9"/>
      <c r="M508" s="10"/>
      <c r="N508" s="9"/>
      <c r="O508" s="10"/>
      <c r="P508" s="9"/>
      <c r="Q508" s="10"/>
      <c r="R508" s="9"/>
      <c r="S508" s="10"/>
      <c r="T508" s="9"/>
      <c r="U508" s="10"/>
      <c r="V508" s="9"/>
      <c r="W508" s="10"/>
      <c r="X508" s="9"/>
      <c r="Y508" s="10"/>
      <c r="Z508" s="9"/>
      <c r="AA508" s="10"/>
      <c r="AB508" s="9"/>
      <c r="AC508" s="10"/>
      <c r="AD508" s="9"/>
      <c r="AE508" s="10"/>
      <c r="AF508" s="9"/>
      <c r="AG508" s="10"/>
      <c r="AH508" s="9"/>
      <c r="AI508" s="10"/>
      <c r="AJ508" s="9"/>
      <c r="AK508" s="10"/>
      <c r="AL508" s="9"/>
      <c r="AM508" s="10"/>
      <c r="AN508" s="9"/>
      <c r="AO508" s="10"/>
      <c r="AP508" s="9"/>
      <c r="AQ508" s="10"/>
      <c r="AR508" s="9"/>
      <c r="AS508" s="10"/>
      <c r="AT508" s="9"/>
      <c r="AU508" s="10"/>
      <c r="AV508" s="9"/>
      <c r="AW508" s="10"/>
      <c r="AX508" s="9"/>
      <c r="AY508" s="10"/>
      <c r="AZ508" s="9"/>
      <c r="BA508" s="10"/>
      <c r="BB508" s="9"/>
      <c r="BC508" s="10"/>
      <c r="BD508" s="9"/>
      <c r="BE508" s="10"/>
      <c r="BF508" s="9"/>
      <c r="BG508" s="10"/>
      <c r="BH508" s="9"/>
      <c r="BI508" s="10"/>
      <c r="BJ508" s="9"/>
      <c r="BK508" s="10"/>
      <c r="BL508" s="9"/>
      <c r="BM508" s="10"/>
      <c r="BN508" s="9"/>
      <c r="BO508" s="10"/>
      <c r="BP508" s="9"/>
      <c r="BQ508" s="10"/>
      <c r="BR508" s="9"/>
      <c r="BS508" s="10"/>
      <c r="BT508" s="9"/>
      <c r="BU508" s="10"/>
      <c r="BV508" s="9"/>
      <c r="BW508" s="10"/>
      <c r="BX508" s="9"/>
      <c r="BY508" s="10"/>
      <c r="BZ508" s="9"/>
      <c r="CA508" s="10"/>
      <c r="CB508" s="9"/>
      <c r="CC508" s="10"/>
      <c r="CD508" s="9"/>
      <c r="CE508" s="10"/>
      <c r="CF508" s="9"/>
      <c r="CG508" s="10"/>
      <c r="CH508" s="9"/>
      <c r="CI508" s="10"/>
      <c r="CJ508" s="9"/>
      <c r="CK508" s="10"/>
      <c r="CL508" s="9"/>
      <c r="CM508" s="10"/>
      <c r="CN508" s="9"/>
      <c r="CO508" s="10"/>
      <c r="CP508" s="9"/>
      <c r="CQ508" s="10"/>
      <c r="CR508" s="9"/>
      <c r="CS508" s="10"/>
      <c r="CT508" s="9"/>
      <c r="CU508" s="10"/>
      <c r="CV508" s="9"/>
      <c r="CW508" s="10"/>
      <c r="CX508" s="9"/>
      <c r="CY508" s="10"/>
      <c r="CZ508" s="9"/>
      <c r="DA508" s="10"/>
      <c r="DB508" s="9"/>
      <c r="DC508" s="10"/>
      <c r="DD508" s="9"/>
      <c r="DE508" s="10"/>
      <c r="DF508" s="9"/>
      <c r="DG508" s="10"/>
      <c r="DH508" s="9"/>
      <c r="DI508" s="10"/>
      <c r="DJ508" s="9"/>
      <c r="DK508" s="10"/>
      <c r="DL508" s="9"/>
      <c r="DM508" s="10"/>
      <c r="DN508" s="9"/>
      <c r="DO508" s="10"/>
      <c r="DP508" s="9"/>
      <c r="DQ508" s="10"/>
      <c r="DR508" s="9"/>
      <c r="DS508" s="10"/>
      <c r="DT508" s="9"/>
      <c r="DU508" s="10"/>
      <c r="DV508" s="9"/>
      <c r="DW508" s="10"/>
      <c r="DX508" s="9"/>
      <c r="DY508" s="10"/>
      <c r="DZ508" s="9"/>
      <c r="EA508" s="10"/>
      <c r="EB508" s="9"/>
      <c r="EC508" s="10"/>
      <c r="ED508" s="9"/>
      <c r="EE508" s="10"/>
      <c r="EF508" s="9"/>
      <c r="EG508" s="10"/>
      <c r="EH508" s="9"/>
      <c r="EI508" s="10"/>
      <c r="EJ508" s="9"/>
      <c r="EK508" s="10"/>
      <c r="EL508" s="9"/>
      <c r="EM508" s="10"/>
      <c r="EN508" s="9"/>
      <c r="EO508" s="10"/>
      <c r="EP508" s="9"/>
      <c r="EQ508" s="10"/>
      <c r="ER508" s="9"/>
      <c r="ES508" s="10"/>
      <c r="ET508" s="9"/>
      <c r="EU508" s="10"/>
      <c r="EV508" s="9"/>
      <c r="EW508" s="10"/>
      <c r="EX508" s="9"/>
      <c r="EY508" s="10"/>
      <c r="EZ508" s="9"/>
      <c r="FA508" s="10"/>
      <c r="FB508" s="9"/>
      <c r="FC508" s="10"/>
      <c r="FD508" s="9"/>
      <c r="FE508" s="10"/>
      <c r="FF508" s="9"/>
      <c r="FG508" s="10"/>
      <c r="FH508" s="9"/>
      <c r="FI508" s="10"/>
      <c r="FJ508" s="9"/>
      <c r="FK508" s="10"/>
      <c r="FL508" s="9"/>
      <c r="FM508" s="10"/>
      <c r="FN508" s="9"/>
      <c r="FO508" s="10"/>
      <c r="FP508" s="9"/>
      <c r="FQ508" s="10"/>
      <c r="FR508" s="9"/>
      <c r="FS508" s="10"/>
      <c r="FT508" s="9"/>
      <c r="FU508" s="10"/>
      <c r="FV508" s="9"/>
      <c r="FW508" s="10"/>
      <c r="FX508" s="9"/>
      <c r="FY508" s="10"/>
      <c r="FZ508" s="9"/>
      <c r="GA508" s="10"/>
      <c r="GB508" s="9"/>
      <c r="GC508" s="10"/>
      <c r="GD508" s="9"/>
      <c r="GE508" s="10"/>
      <c r="GF508" s="9"/>
      <c r="GG508" s="10"/>
      <c r="GH508" s="9"/>
      <c r="GI508" s="10"/>
      <c r="GJ508" s="9"/>
      <c r="GK508" s="10"/>
      <c r="GL508" s="9"/>
      <c r="GM508" s="10"/>
      <c r="GN508" s="9"/>
      <c r="GO508" s="10"/>
      <c r="GP508" s="9"/>
      <c r="GQ508" s="10"/>
      <c r="GR508" s="9"/>
      <c r="GS508" s="10"/>
      <c r="GT508" s="9"/>
      <c r="GU508" s="10"/>
      <c r="GV508" s="9"/>
      <c r="GW508" s="10"/>
      <c r="GX508" s="9"/>
      <c r="GY508" s="10"/>
      <c r="GZ508" s="9"/>
      <c r="HA508" s="10"/>
      <c r="HB508" s="9"/>
      <c r="HC508" s="10"/>
      <c r="HD508" s="9"/>
      <c r="HE508" s="10"/>
      <c r="HF508" s="9"/>
      <c r="HG508" s="10"/>
      <c r="HH508" s="9"/>
      <c r="HI508" s="10"/>
      <c r="HJ508" s="9"/>
      <c r="HK508" s="10"/>
      <c r="HL508" s="9"/>
      <c r="HM508" s="10"/>
      <c r="HN508" s="9"/>
      <c r="HO508" s="10"/>
      <c r="HP508" s="9"/>
      <c r="HQ508" s="10"/>
      <c r="HR508" s="9"/>
      <c r="HS508" s="10"/>
      <c r="HT508" s="9"/>
      <c r="HU508" s="10"/>
      <c r="HV508" s="9"/>
      <c r="HW508" s="10"/>
      <c r="HX508" s="9"/>
      <c r="HY508" s="10"/>
      <c r="HZ508" s="9"/>
      <c r="IA508" s="10"/>
      <c r="IB508" s="9"/>
      <c r="IC508" s="10"/>
      <c r="ID508" s="9"/>
      <c r="IE508" s="10"/>
      <c r="IF508" s="9"/>
      <c r="IG508" s="10"/>
      <c r="IH508" s="9"/>
      <c r="II508" s="10"/>
      <c r="IJ508" s="9"/>
      <c r="IK508" s="10"/>
      <c r="IL508" s="9"/>
      <c r="IM508" s="10"/>
      <c r="IN508" s="9"/>
      <c r="IO508" s="10"/>
      <c r="IP508" s="9"/>
      <c r="IQ508" s="10"/>
      <c r="IR508" s="9"/>
      <c r="IS508" s="10"/>
      <c r="IT508" s="9"/>
      <c r="IU508" s="10"/>
      <c r="IV508" s="9"/>
      <c r="IW508" s="10"/>
      <c r="IX508" s="9"/>
      <c r="IY508" s="10"/>
      <c r="IZ508" s="9"/>
      <c r="JA508" s="10"/>
      <c r="JB508" s="9"/>
      <c r="JC508" s="10"/>
      <c r="JD508" s="9"/>
      <c r="JE508" s="10"/>
      <c r="JF508" s="9"/>
      <c r="JG508" s="10"/>
      <c r="JH508" s="9"/>
      <c r="JI508" s="10"/>
      <c r="JJ508" s="9"/>
      <c r="JK508" s="10"/>
      <c r="JL508" s="9"/>
      <c r="JM508" s="10"/>
      <c r="JN508" s="9"/>
      <c r="JO508" s="10"/>
      <c r="JP508" s="9"/>
      <c r="JQ508" s="10"/>
      <c r="JR508" s="9"/>
      <c r="JS508" s="10"/>
      <c r="JT508" s="9"/>
      <c r="JU508" s="10"/>
      <c r="JV508" s="9"/>
      <c r="JW508" s="10"/>
      <c r="JX508" s="9"/>
      <c r="JY508" s="10"/>
      <c r="JZ508" s="9"/>
      <c r="KA508" s="10"/>
      <c r="KB508" s="9"/>
      <c r="KC508" s="10"/>
      <c r="KD508" s="9"/>
      <c r="KE508" s="10"/>
      <c r="KF508" s="9"/>
      <c r="KG508" s="10"/>
      <c r="KH508" s="9"/>
      <c r="KI508" s="10"/>
      <c r="KJ508" s="9"/>
      <c r="KK508" s="10"/>
      <c r="KL508" s="9"/>
      <c r="KM508" s="10"/>
      <c r="KN508" s="9"/>
      <c r="KO508" s="10"/>
      <c r="KP508" s="9"/>
      <c r="KQ508" s="10"/>
      <c r="KR508" s="9"/>
      <c r="KS508" s="10"/>
      <c r="KT508" s="9"/>
      <c r="KU508" s="10"/>
      <c r="KV508" s="9"/>
      <c r="KW508" s="10"/>
      <c r="KX508" s="9"/>
      <c r="KY508" s="10"/>
      <c r="KZ508" s="9"/>
      <c r="LA508" s="10"/>
      <c r="LB508" s="9"/>
      <c r="LC508" s="10"/>
      <c r="LD508" s="9"/>
      <c r="LE508" s="10"/>
      <c r="LF508" s="9"/>
      <c r="LG508" s="10"/>
      <c r="LH508" s="9"/>
      <c r="LI508" s="10"/>
      <c r="LJ508" s="9"/>
      <c r="LK508" s="10"/>
      <c r="LL508" s="9"/>
      <c r="LM508" s="10"/>
      <c r="LN508" s="9"/>
      <c r="LO508" s="10"/>
      <c r="LP508" s="9"/>
      <c r="LQ508" s="10"/>
      <c r="LR508" s="9"/>
      <c r="LS508" s="10"/>
      <c r="LT508" s="9"/>
      <c r="LU508" s="10"/>
      <c r="LV508" s="9"/>
      <c r="LW508" s="10"/>
      <c r="LX508" s="9"/>
      <c r="LY508" s="10"/>
      <c r="LZ508" s="9"/>
      <c r="MA508" s="10"/>
      <c r="MB508" s="9"/>
      <c r="MC508" s="10"/>
      <c r="MD508" s="9"/>
      <c r="ME508" s="10"/>
      <c r="MF508" s="9"/>
      <c r="MG508" s="10"/>
      <c r="MH508" s="9"/>
      <c r="MI508" s="10"/>
      <c r="MJ508" s="9"/>
      <c r="MK508" s="10"/>
      <c r="ML508" s="9"/>
      <c r="MM508" s="10"/>
      <c r="MN508" s="9"/>
      <c r="MO508" s="10"/>
      <c r="MP508" s="9"/>
      <c r="MQ508" s="10"/>
      <c r="MR508" s="9"/>
      <c r="MS508" s="10"/>
      <c r="MT508" s="9"/>
      <c r="MU508" s="10"/>
      <c r="MV508" s="9"/>
      <c r="MW508" s="10"/>
      <c r="MX508" s="9"/>
      <c r="MY508" s="10"/>
      <c r="MZ508" s="9"/>
      <c r="NA508" s="10"/>
      <c r="NB508" s="9"/>
      <c r="NC508" s="10"/>
      <c r="ND508" s="9"/>
      <c r="NE508" s="10"/>
      <c r="NF508" s="9"/>
      <c r="NG508" s="10"/>
      <c r="NH508" s="9"/>
      <c r="NI508" s="10"/>
      <c r="NJ508" s="9"/>
      <c r="NK508" s="10"/>
      <c r="NL508" s="9"/>
      <c r="NM508" s="10"/>
      <c r="NN508" s="9"/>
      <c r="NO508" s="10"/>
      <c r="NP508" s="9"/>
      <c r="NQ508" s="10"/>
      <c r="NR508" s="9"/>
      <c r="NS508" s="10"/>
      <c r="NT508" s="9"/>
      <c r="NU508" s="10"/>
      <c r="NV508" s="9"/>
      <c r="NW508" s="10"/>
      <c r="NX508" s="9"/>
      <c r="NY508" s="10"/>
      <c r="NZ508" s="9"/>
      <c r="OA508" s="10"/>
      <c r="OB508" s="9"/>
      <c r="OC508" s="10"/>
      <c r="OD508" s="9"/>
      <c r="OE508" s="10"/>
      <c r="OF508" s="9"/>
      <c r="OG508" s="10"/>
      <c r="OH508" s="9"/>
      <c r="OI508" s="10"/>
      <c r="OJ508" s="9"/>
      <c r="OK508" s="10"/>
      <c r="OL508" s="9"/>
      <c r="OM508" s="10"/>
      <c r="ON508" s="9"/>
      <c r="OO508" s="10"/>
      <c r="OP508" s="9"/>
      <c r="OQ508" s="10"/>
      <c r="OR508" s="9"/>
      <c r="OS508" s="10"/>
      <c r="OT508" s="9"/>
      <c r="OU508" s="10"/>
      <c r="OV508" s="9"/>
      <c r="OW508" s="10"/>
      <c r="OX508" s="9"/>
      <c r="OY508" s="10"/>
      <c r="OZ508" s="9"/>
      <c r="PA508" s="10"/>
      <c r="PB508" s="9"/>
      <c r="PC508" s="10"/>
      <c r="PD508" s="9"/>
      <c r="PE508" s="10"/>
      <c r="PF508" s="9"/>
      <c r="PG508" s="10"/>
      <c r="PH508" s="9"/>
      <c r="PI508" s="10"/>
      <c r="PJ508" s="9"/>
      <c r="PK508" s="10"/>
      <c r="PL508" s="9"/>
      <c r="PM508" s="10"/>
      <c r="PN508" s="9"/>
      <c r="PO508" s="10"/>
      <c r="PP508" s="9"/>
      <c r="PQ508" s="10"/>
      <c r="PR508" s="9"/>
      <c r="PS508" s="10"/>
      <c r="PT508" s="9"/>
      <c r="PU508" s="10"/>
      <c r="PV508" s="9"/>
      <c r="PW508" s="10"/>
      <c r="PX508" s="9"/>
      <c r="PY508" s="10"/>
      <c r="PZ508" s="9"/>
      <c r="QA508" s="10"/>
      <c r="QB508" s="9"/>
      <c r="QC508" s="10"/>
      <c r="QD508" s="9"/>
      <c r="QE508" s="10"/>
      <c r="QF508" s="9"/>
      <c r="QG508" s="10"/>
      <c r="QH508" s="9"/>
      <c r="QI508" s="10"/>
      <c r="QJ508" s="9"/>
      <c r="QK508" s="10"/>
      <c r="QL508" s="9"/>
      <c r="QM508" s="10"/>
      <c r="QN508" s="9"/>
      <c r="QO508" s="10"/>
      <c r="QP508" s="9"/>
      <c r="QQ508" s="10"/>
      <c r="QR508" s="9"/>
      <c r="QS508" s="10"/>
      <c r="QT508" s="9"/>
      <c r="QU508" s="10"/>
      <c r="QV508" s="9"/>
      <c r="QW508" s="10"/>
      <c r="QX508" s="9"/>
      <c r="QY508" s="10"/>
      <c r="QZ508" s="9"/>
      <c r="RA508" s="10"/>
      <c r="RB508" s="9"/>
      <c r="RC508" s="10"/>
      <c r="RD508" s="9"/>
      <c r="RE508" s="10"/>
      <c r="RF508" s="9"/>
      <c r="RG508" s="10"/>
      <c r="RH508" s="9"/>
      <c r="RI508" s="10"/>
      <c r="RJ508" s="9"/>
      <c r="RK508" s="10"/>
      <c r="RL508" s="9"/>
      <c r="RM508" s="10"/>
      <c r="RN508" s="9"/>
      <c r="RO508" s="10"/>
      <c r="RP508" s="9"/>
      <c r="RQ508" s="10"/>
      <c r="RR508" s="9"/>
      <c r="RS508" s="10"/>
      <c r="RT508" s="9"/>
      <c r="RU508" s="10"/>
      <c r="RV508" s="9"/>
      <c r="RW508" s="10"/>
      <c r="RX508" s="9"/>
      <c r="RY508" s="10"/>
      <c r="RZ508" s="9"/>
      <c r="SA508" s="10"/>
      <c r="SB508" s="9"/>
      <c r="SC508" s="10"/>
      <c r="SD508" s="9"/>
      <c r="SE508" s="11"/>
    </row>
    <row r="509" spans="2:499" x14ac:dyDescent="0.3">
      <c r="B509" s="2" t="str">
        <f>Tabla1[[#Headers],[Serv. Funerarios Derecho Hab Publ]]</f>
        <v>Serv. Funerarios Derecho Hab Publ</v>
      </c>
      <c r="C509" s="2">
        <f>SUM(Tabla1[Serv. Funerarios Derecho Hab Publ])</f>
        <v>322484</v>
      </c>
      <c r="E509" s="7"/>
      <c r="F509" s="9"/>
      <c r="G509" s="10"/>
      <c r="H509" s="9"/>
      <c r="I509" s="10"/>
      <c r="J509" s="9"/>
      <c r="K509" s="10"/>
      <c r="L509" s="9"/>
      <c r="M509" s="10"/>
      <c r="N509" s="9"/>
      <c r="O509" s="10"/>
      <c r="P509" s="9"/>
      <c r="Q509" s="10"/>
      <c r="R509" s="9"/>
      <c r="S509" s="10"/>
      <c r="T509" s="9"/>
      <c r="U509" s="10"/>
      <c r="V509" s="9"/>
      <c r="W509" s="10"/>
      <c r="X509" s="9"/>
      <c r="Y509" s="10"/>
      <c r="Z509" s="9"/>
      <c r="AA509" s="10"/>
      <c r="AB509" s="9"/>
      <c r="AC509" s="10"/>
      <c r="AD509" s="9"/>
      <c r="AE509" s="10"/>
      <c r="AF509" s="9"/>
      <c r="AG509" s="10"/>
      <c r="AH509" s="9"/>
      <c r="AI509" s="10"/>
      <c r="AJ509" s="9"/>
      <c r="AK509" s="10"/>
      <c r="AL509" s="9"/>
      <c r="AM509" s="10"/>
      <c r="AN509" s="9"/>
      <c r="AO509" s="10"/>
      <c r="AP509" s="9"/>
      <c r="AQ509" s="10"/>
      <c r="AR509" s="9"/>
      <c r="AS509" s="10"/>
      <c r="AT509" s="9"/>
      <c r="AU509" s="10"/>
      <c r="AV509" s="9"/>
      <c r="AW509" s="10"/>
      <c r="AX509" s="9"/>
      <c r="AY509" s="10"/>
      <c r="AZ509" s="9"/>
      <c r="BA509" s="10"/>
      <c r="BB509" s="9"/>
      <c r="BC509" s="10"/>
      <c r="BD509" s="9"/>
      <c r="BE509" s="10"/>
      <c r="BF509" s="9"/>
      <c r="BG509" s="10"/>
      <c r="BH509" s="9"/>
      <c r="BI509" s="10"/>
      <c r="BJ509" s="9"/>
      <c r="BK509" s="10"/>
      <c r="BL509" s="9"/>
      <c r="BM509" s="10"/>
      <c r="BN509" s="9"/>
      <c r="BO509" s="10"/>
      <c r="BP509" s="9"/>
      <c r="BQ509" s="10"/>
      <c r="BR509" s="9"/>
      <c r="BS509" s="10"/>
      <c r="BT509" s="9"/>
      <c r="BU509" s="10"/>
      <c r="BV509" s="9"/>
      <c r="BW509" s="10"/>
      <c r="BX509" s="9"/>
      <c r="BY509" s="10"/>
      <c r="BZ509" s="9"/>
      <c r="CA509" s="10"/>
      <c r="CB509" s="9"/>
      <c r="CC509" s="10"/>
      <c r="CD509" s="9"/>
      <c r="CE509" s="10"/>
      <c r="CF509" s="9"/>
      <c r="CG509" s="10"/>
      <c r="CH509" s="9"/>
      <c r="CI509" s="10"/>
      <c r="CJ509" s="9"/>
      <c r="CK509" s="10"/>
      <c r="CL509" s="9"/>
      <c r="CM509" s="10"/>
      <c r="CN509" s="9"/>
      <c r="CO509" s="10"/>
      <c r="CP509" s="9"/>
      <c r="CQ509" s="10"/>
      <c r="CR509" s="9"/>
      <c r="CS509" s="10"/>
      <c r="CT509" s="9"/>
      <c r="CU509" s="10"/>
      <c r="CV509" s="9"/>
      <c r="CW509" s="10"/>
      <c r="CX509" s="9"/>
      <c r="CY509" s="10"/>
      <c r="CZ509" s="9"/>
      <c r="DA509" s="10"/>
      <c r="DB509" s="9"/>
      <c r="DC509" s="10"/>
      <c r="DD509" s="9"/>
      <c r="DE509" s="10"/>
      <c r="DF509" s="9"/>
      <c r="DG509" s="10"/>
      <c r="DH509" s="9"/>
      <c r="DI509" s="10"/>
      <c r="DJ509" s="9"/>
      <c r="DK509" s="10"/>
      <c r="DL509" s="9"/>
      <c r="DM509" s="10"/>
      <c r="DN509" s="9"/>
      <c r="DO509" s="10"/>
      <c r="DP509" s="9"/>
      <c r="DQ509" s="10"/>
      <c r="DR509" s="9"/>
      <c r="DS509" s="10"/>
      <c r="DT509" s="9"/>
      <c r="DU509" s="10"/>
      <c r="DV509" s="9"/>
      <c r="DW509" s="10"/>
      <c r="DX509" s="9"/>
      <c r="DY509" s="10"/>
      <c r="DZ509" s="9"/>
      <c r="EA509" s="10"/>
      <c r="EB509" s="9"/>
      <c r="EC509" s="10"/>
      <c r="ED509" s="9"/>
      <c r="EE509" s="10"/>
      <c r="EF509" s="9"/>
      <c r="EG509" s="10"/>
      <c r="EH509" s="9"/>
      <c r="EI509" s="10"/>
      <c r="EJ509" s="9"/>
      <c r="EK509" s="10"/>
      <c r="EL509" s="9"/>
      <c r="EM509" s="10"/>
      <c r="EN509" s="9"/>
      <c r="EO509" s="10"/>
      <c r="EP509" s="9"/>
      <c r="EQ509" s="10"/>
      <c r="ER509" s="9"/>
      <c r="ES509" s="10"/>
      <c r="ET509" s="9"/>
      <c r="EU509" s="10"/>
      <c r="EV509" s="9"/>
      <c r="EW509" s="10"/>
      <c r="EX509" s="9"/>
      <c r="EY509" s="10"/>
      <c r="EZ509" s="9"/>
      <c r="FA509" s="10"/>
      <c r="FB509" s="9"/>
      <c r="FC509" s="10"/>
      <c r="FD509" s="9"/>
      <c r="FE509" s="10"/>
      <c r="FF509" s="9"/>
      <c r="FG509" s="10"/>
      <c r="FH509" s="9"/>
      <c r="FI509" s="10"/>
      <c r="FJ509" s="9"/>
      <c r="FK509" s="10"/>
      <c r="FL509" s="9"/>
      <c r="FM509" s="10"/>
      <c r="FN509" s="9"/>
      <c r="FO509" s="10"/>
      <c r="FP509" s="9"/>
      <c r="FQ509" s="10"/>
      <c r="FR509" s="9"/>
      <c r="FS509" s="10"/>
      <c r="FT509" s="9"/>
      <c r="FU509" s="10"/>
      <c r="FV509" s="9"/>
      <c r="FW509" s="10"/>
      <c r="FX509" s="9"/>
      <c r="FY509" s="10"/>
      <c r="FZ509" s="9"/>
      <c r="GA509" s="10"/>
      <c r="GB509" s="9"/>
      <c r="GC509" s="10"/>
      <c r="GD509" s="9"/>
      <c r="GE509" s="10"/>
      <c r="GF509" s="9"/>
      <c r="GG509" s="10"/>
      <c r="GH509" s="9"/>
      <c r="GI509" s="10"/>
      <c r="GJ509" s="9"/>
      <c r="GK509" s="10"/>
      <c r="GL509" s="9"/>
      <c r="GM509" s="10"/>
      <c r="GN509" s="9"/>
      <c r="GO509" s="10"/>
      <c r="GP509" s="9"/>
      <c r="GQ509" s="10"/>
      <c r="GR509" s="9"/>
      <c r="GS509" s="10"/>
      <c r="GT509" s="9"/>
      <c r="GU509" s="10"/>
      <c r="GV509" s="9"/>
      <c r="GW509" s="10"/>
      <c r="GX509" s="9"/>
      <c r="GY509" s="10"/>
      <c r="GZ509" s="9"/>
      <c r="HA509" s="10"/>
      <c r="HB509" s="9"/>
      <c r="HC509" s="10"/>
      <c r="HD509" s="9"/>
      <c r="HE509" s="10"/>
      <c r="HF509" s="9"/>
      <c r="HG509" s="10"/>
      <c r="HH509" s="9"/>
      <c r="HI509" s="10"/>
      <c r="HJ509" s="9"/>
      <c r="HK509" s="10"/>
      <c r="HL509" s="9"/>
      <c r="HM509" s="10"/>
      <c r="HN509" s="9"/>
      <c r="HO509" s="10"/>
      <c r="HP509" s="9"/>
      <c r="HQ509" s="10"/>
      <c r="HR509" s="9"/>
      <c r="HS509" s="10"/>
      <c r="HT509" s="9"/>
      <c r="HU509" s="10"/>
      <c r="HV509" s="9"/>
      <c r="HW509" s="10"/>
      <c r="HX509" s="9"/>
      <c r="HY509" s="10"/>
      <c r="HZ509" s="9"/>
      <c r="IA509" s="10"/>
      <c r="IB509" s="9"/>
      <c r="IC509" s="10"/>
      <c r="ID509" s="9"/>
      <c r="IE509" s="10"/>
      <c r="IF509" s="9"/>
      <c r="IG509" s="10"/>
      <c r="IH509" s="9"/>
      <c r="II509" s="10"/>
      <c r="IJ509" s="9"/>
      <c r="IK509" s="10"/>
      <c r="IL509" s="9"/>
      <c r="IM509" s="10"/>
      <c r="IN509" s="9"/>
      <c r="IO509" s="10"/>
      <c r="IP509" s="9"/>
      <c r="IQ509" s="10"/>
      <c r="IR509" s="9"/>
      <c r="IS509" s="10"/>
      <c r="IT509" s="9"/>
      <c r="IU509" s="10"/>
      <c r="IV509" s="9"/>
      <c r="IW509" s="10"/>
      <c r="IX509" s="9"/>
      <c r="IY509" s="10"/>
      <c r="IZ509" s="9"/>
      <c r="JA509" s="10"/>
      <c r="JB509" s="9"/>
      <c r="JC509" s="10"/>
      <c r="JD509" s="9"/>
      <c r="JE509" s="10"/>
      <c r="JF509" s="9"/>
      <c r="JG509" s="10"/>
      <c r="JH509" s="9"/>
      <c r="JI509" s="10"/>
      <c r="JJ509" s="9"/>
      <c r="JK509" s="10"/>
      <c r="JL509" s="9"/>
      <c r="JM509" s="10"/>
      <c r="JN509" s="9"/>
      <c r="JO509" s="10"/>
      <c r="JP509" s="9"/>
      <c r="JQ509" s="10"/>
      <c r="JR509" s="9"/>
      <c r="JS509" s="10"/>
      <c r="JT509" s="9"/>
      <c r="JU509" s="10"/>
      <c r="JV509" s="9"/>
      <c r="JW509" s="10"/>
      <c r="JX509" s="9"/>
      <c r="JY509" s="10"/>
      <c r="JZ509" s="9"/>
      <c r="KA509" s="10"/>
      <c r="KB509" s="9"/>
      <c r="KC509" s="10"/>
      <c r="KD509" s="9"/>
      <c r="KE509" s="10"/>
      <c r="KF509" s="9"/>
      <c r="KG509" s="10"/>
      <c r="KH509" s="9"/>
      <c r="KI509" s="10"/>
      <c r="KJ509" s="9"/>
      <c r="KK509" s="10"/>
      <c r="KL509" s="9"/>
      <c r="KM509" s="10"/>
      <c r="KN509" s="9"/>
      <c r="KO509" s="10"/>
      <c r="KP509" s="9"/>
      <c r="KQ509" s="10"/>
      <c r="KR509" s="9"/>
      <c r="KS509" s="10"/>
      <c r="KT509" s="9"/>
      <c r="KU509" s="10"/>
      <c r="KV509" s="9"/>
      <c r="KW509" s="10"/>
      <c r="KX509" s="9"/>
      <c r="KY509" s="10"/>
      <c r="KZ509" s="9"/>
      <c r="LA509" s="10"/>
      <c r="LB509" s="9"/>
      <c r="LC509" s="10"/>
      <c r="LD509" s="9"/>
      <c r="LE509" s="10"/>
      <c r="LF509" s="9"/>
      <c r="LG509" s="10"/>
      <c r="LH509" s="9"/>
      <c r="LI509" s="10"/>
      <c r="LJ509" s="9"/>
      <c r="LK509" s="10"/>
      <c r="LL509" s="9"/>
      <c r="LM509" s="10"/>
      <c r="LN509" s="9"/>
      <c r="LO509" s="10"/>
      <c r="LP509" s="9"/>
      <c r="LQ509" s="10"/>
      <c r="LR509" s="9"/>
      <c r="LS509" s="10"/>
      <c r="LT509" s="9"/>
      <c r="LU509" s="10"/>
      <c r="LV509" s="9"/>
      <c r="LW509" s="10"/>
      <c r="LX509" s="9"/>
      <c r="LY509" s="10"/>
      <c r="LZ509" s="9"/>
      <c r="MA509" s="10"/>
      <c r="MB509" s="9"/>
      <c r="MC509" s="10"/>
      <c r="MD509" s="9"/>
      <c r="ME509" s="10"/>
      <c r="MF509" s="9"/>
      <c r="MG509" s="10"/>
      <c r="MH509" s="9"/>
      <c r="MI509" s="10"/>
      <c r="MJ509" s="9"/>
      <c r="MK509" s="10"/>
      <c r="ML509" s="9"/>
      <c r="MM509" s="10"/>
      <c r="MN509" s="9"/>
      <c r="MO509" s="10"/>
      <c r="MP509" s="9"/>
      <c r="MQ509" s="10"/>
      <c r="MR509" s="9"/>
      <c r="MS509" s="10"/>
      <c r="MT509" s="9"/>
      <c r="MU509" s="10"/>
      <c r="MV509" s="9"/>
      <c r="MW509" s="10"/>
      <c r="MX509" s="9"/>
      <c r="MY509" s="10"/>
      <c r="MZ509" s="9"/>
      <c r="NA509" s="10"/>
      <c r="NB509" s="9"/>
      <c r="NC509" s="10"/>
      <c r="ND509" s="9"/>
      <c r="NE509" s="10"/>
      <c r="NF509" s="9"/>
      <c r="NG509" s="10"/>
      <c r="NH509" s="9"/>
      <c r="NI509" s="10"/>
      <c r="NJ509" s="9"/>
      <c r="NK509" s="10"/>
      <c r="NL509" s="9"/>
      <c r="NM509" s="10"/>
      <c r="NN509" s="9"/>
      <c r="NO509" s="10"/>
      <c r="NP509" s="9"/>
      <c r="NQ509" s="10"/>
      <c r="NR509" s="9"/>
      <c r="NS509" s="10"/>
      <c r="NT509" s="9"/>
      <c r="NU509" s="10"/>
      <c r="NV509" s="9"/>
      <c r="NW509" s="10"/>
      <c r="NX509" s="9"/>
      <c r="NY509" s="10"/>
      <c r="NZ509" s="9"/>
      <c r="OA509" s="10"/>
      <c r="OB509" s="9"/>
      <c r="OC509" s="10"/>
      <c r="OD509" s="9"/>
      <c r="OE509" s="10"/>
      <c r="OF509" s="9"/>
      <c r="OG509" s="10"/>
      <c r="OH509" s="9"/>
      <c r="OI509" s="10"/>
      <c r="OJ509" s="9"/>
      <c r="OK509" s="10"/>
      <c r="OL509" s="9"/>
      <c r="OM509" s="10"/>
      <c r="ON509" s="9"/>
      <c r="OO509" s="10"/>
      <c r="OP509" s="9"/>
      <c r="OQ509" s="10"/>
      <c r="OR509" s="9"/>
      <c r="OS509" s="10"/>
      <c r="OT509" s="9"/>
      <c r="OU509" s="10"/>
      <c r="OV509" s="9"/>
      <c r="OW509" s="10"/>
      <c r="OX509" s="9"/>
      <c r="OY509" s="10"/>
      <c r="OZ509" s="9"/>
      <c r="PA509" s="10"/>
      <c r="PB509" s="9"/>
      <c r="PC509" s="10"/>
      <c r="PD509" s="9"/>
      <c r="PE509" s="10"/>
      <c r="PF509" s="9"/>
      <c r="PG509" s="10"/>
      <c r="PH509" s="9"/>
      <c r="PI509" s="10"/>
      <c r="PJ509" s="9"/>
      <c r="PK509" s="10"/>
      <c r="PL509" s="9"/>
      <c r="PM509" s="10"/>
      <c r="PN509" s="9"/>
      <c r="PO509" s="10"/>
      <c r="PP509" s="9"/>
      <c r="PQ509" s="10"/>
      <c r="PR509" s="9"/>
      <c r="PS509" s="10"/>
      <c r="PT509" s="9"/>
      <c r="PU509" s="10"/>
      <c r="PV509" s="9"/>
      <c r="PW509" s="10"/>
      <c r="PX509" s="9"/>
      <c r="PY509" s="10"/>
      <c r="PZ509" s="9"/>
      <c r="QA509" s="10"/>
      <c r="QB509" s="9"/>
      <c r="QC509" s="10"/>
      <c r="QD509" s="9"/>
      <c r="QE509" s="10"/>
      <c r="QF509" s="9"/>
      <c r="QG509" s="10"/>
      <c r="QH509" s="9"/>
      <c r="QI509" s="10"/>
      <c r="QJ509" s="9"/>
      <c r="QK509" s="10"/>
      <c r="QL509" s="9"/>
      <c r="QM509" s="10"/>
      <c r="QN509" s="9"/>
      <c r="QO509" s="10"/>
      <c r="QP509" s="9"/>
      <c r="QQ509" s="10"/>
      <c r="QR509" s="9"/>
      <c r="QS509" s="10"/>
      <c r="QT509" s="9"/>
      <c r="QU509" s="10"/>
      <c r="QV509" s="9"/>
      <c r="QW509" s="10"/>
      <c r="QX509" s="9"/>
      <c r="QY509" s="10"/>
      <c r="QZ509" s="9"/>
      <c r="RA509" s="10"/>
      <c r="RB509" s="9"/>
      <c r="RC509" s="10"/>
      <c r="RD509" s="9"/>
      <c r="RE509" s="10"/>
      <c r="RF509" s="9"/>
      <c r="RG509" s="10"/>
      <c r="RH509" s="9"/>
      <c r="RI509" s="10"/>
      <c r="RJ509" s="9"/>
      <c r="RK509" s="10"/>
      <c r="RL509" s="9"/>
      <c r="RM509" s="10"/>
      <c r="RN509" s="9"/>
      <c r="RO509" s="10"/>
      <c r="RP509" s="9"/>
      <c r="RQ509" s="10"/>
      <c r="RR509" s="9"/>
      <c r="RS509" s="10"/>
      <c r="RT509" s="9"/>
      <c r="RU509" s="10"/>
      <c r="RV509" s="9"/>
      <c r="RW509" s="10"/>
      <c r="RX509" s="9"/>
      <c r="RY509" s="10"/>
      <c r="RZ509" s="9"/>
      <c r="SA509" s="10"/>
      <c r="SB509" s="9"/>
      <c r="SC509" s="10"/>
      <c r="SD509" s="9"/>
      <c r="SE509" s="11"/>
    </row>
    <row r="510" spans="2:499" x14ac:dyDescent="0.3">
      <c r="B510" s="2" t="str">
        <f>Tabla1[[#Headers],[Serv. Sociales Pensionados Jubl]]</f>
        <v>Serv. Sociales Pensionados Jubl</v>
      </c>
      <c r="C510" s="2">
        <f>SUM(Tabla1[Serv. Sociales Pensionados Jubl])</f>
        <v>2175717</v>
      </c>
      <c r="E510" s="8"/>
      <c r="F510" s="9"/>
      <c r="G510" s="10"/>
      <c r="H510" s="9"/>
      <c r="I510" s="10"/>
      <c r="J510" s="9"/>
      <c r="K510" s="10"/>
      <c r="L510" s="9"/>
      <c r="M510" s="10"/>
      <c r="N510" s="9"/>
      <c r="O510" s="10"/>
      <c r="P510" s="9"/>
      <c r="Q510" s="10"/>
      <c r="R510" s="9"/>
      <c r="S510" s="10"/>
      <c r="T510" s="9"/>
      <c r="U510" s="10"/>
      <c r="V510" s="9"/>
      <c r="W510" s="10"/>
      <c r="X510" s="9"/>
      <c r="Y510" s="10"/>
      <c r="Z510" s="9"/>
      <c r="AA510" s="10"/>
      <c r="AB510" s="9"/>
      <c r="AC510" s="10"/>
      <c r="AD510" s="9"/>
      <c r="AE510" s="10"/>
      <c r="AF510" s="9"/>
      <c r="AG510" s="10"/>
      <c r="AH510" s="9"/>
      <c r="AI510" s="10"/>
      <c r="AJ510" s="9"/>
      <c r="AK510" s="10"/>
      <c r="AL510" s="9"/>
      <c r="AM510" s="10"/>
      <c r="AN510" s="9"/>
      <c r="AO510" s="10"/>
      <c r="AP510" s="9"/>
      <c r="AQ510" s="10"/>
      <c r="AR510" s="9"/>
      <c r="AS510" s="10"/>
      <c r="AT510" s="9"/>
      <c r="AU510" s="10"/>
      <c r="AV510" s="9"/>
      <c r="AW510" s="10"/>
      <c r="AX510" s="9"/>
      <c r="AY510" s="10"/>
      <c r="AZ510" s="9"/>
      <c r="BA510" s="10"/>
      <c r="BB510" s="9"/>
      <c r="BC510" s="10"/>
      <c r="BD510" s="9"/>
      <c r="BE510" s="10"/>
      <c r="BF510" s="9"/>
      <c r="BG510" s="10"/>
      <c r="BH510" s="9"/>
      <c r="BI510" s="10"/>
      <c r="BJ510" s="9"/>
      <c r="BK510" s="10"/>
      <c r="BL510" s="9"/>
      <c r="BM510" s="10"/>
      <c r="BN510" s="9"/>
      <c r="BO510" s="10"/>
      <c r="BP510" s="9"/>
      <c r="BQ510" s="10"/>
      <c r="BR510" s="9"/>
      <c r="BS510" s="10"/>
      <c r="BT510" s="9"/>
      <c r="BU510" s="10"/>
      <c r="BV510" s="9"/>
      <c r="BW510" s="10"/>
      <c r="BX510" s="9"/>
      <c r="BY510" s="10"/>
      <c r="BZ510" s="9"/>
      <c r="CA510" s="10"/>
      <c r="CB510" s="9"/>
      <c r="CC510" s="10"/>
      <c r="CD510" s="9"/>
      <c r="CE510" s="10"/>
      <c r="CF510" s="9"/>
      <c r="CG510" s="10"/>
      <c r="CH510" s="9"/>
      <c r="CI510" s="10"/>
      <c r="CJ510" s="9"/>
      <c r="CK510" s="10"/>
      <c r="CL510" s="9"/>
      <c r="CM510" s="10"/>
      <c r="CN510" s="9"/>
      <c r="CO510" s="10"/>
      <c r="CP510" s="9"/>
      <c r="CQ510" s="10"/>
      <c r="CR510" s="9"/>
      <c r="CS510" s="10"/>
      <c r="CT510" s="9"/>
      <c r="CU510" s="10"/>
      <c r="CV510" s="9"/>
      <c r="CW510" s="10"/>
      <c r="CX510" s="9"/>
      <c r="CY510" s="10"/>
      <c r="CZ510" s="9"/>
      <c r="DA510" s="10"/>
      <c r="DB510" s="9"/>
      <c r="DC510" s="10"/>
      <c r="DD510" s="9"/>
      <c r="DE510" s="10"/>
      <c r="DF510" s="9"/>
      <c r="DG510" s="10"/>
      <c r="DH510" s="9"/>
      <c r="DI510" s="10"/>
      <c r="DJ510" s="9"/>
      <c r="DK510" s="10"/>
      <c r="DL510" s="9"/>
      <c r="DM510" s="10"/>
      <c r="DN510" s="9"/>
      <c r="DO510" s="10"/>
      <c r="DP510" s="9"/>
      <c r="DQ510" s="10"/>
      <c r="DR510" s="9"/>
      <c r="DS510" s="10"/>
      <c r="DT510" s="9"/>
      <c r="DU510" s="10"/>
      <c r="DV510" s="9"/>
      <c r="DW510" s="10"/>
      <c r="DX510" s="9"/>
      <c r="DY510" s="10"/>
      <c r="DZ510" s="9"/>
      <c r="EA510" s="10"/>
      <c r="EB510" s="9"/>
      <c r="EC510" s="10"/>
      <c r="ED510" s="9"/>
      <c r="EE510" s="10"/>
      <c r="EF510" s="9"/>
      <c r="EG510" s="10"/>
      <c r="EH510" s="9"/>
      <c r="EI510" s="10"/>
      <c r="EJ510" s="9"/>
      <c r="EK510" s="10"/>
      <c r="EL510" s="9"/>
      <c r="EM510" s="10"/>
      <c r="EN510" s="9"/>
      <c r="EO510" s="10"/>
      <c r="EP510" s="9"/>
      <c r="EQ510" s="10"/>
      <c r="ER510" s="9"/>
      <c r="ES510" s="10"/>
      <c r="ET510" s="9"/>
      <c r="EU510" s="10"/>
      <c r="EV510" s="9"/>
      <c r="EW510" s="10"/>
      <c r="EX510" s="9"/>
      <c r="EY510" s="10"/>
      <c r="EZ510" s="9"/>
      <c r="FA510" s="10"/>
      <c r="FB510" s="9"/>
      <c r="FC510" s="10"/>
      <c r="FD510" s="9"/>
      <c r="FE510" s="10"/>
      <c r="FF510" s="9"/>
      <c r="FG510" s="10"/>
      <c r="FH510" s="9"/>
      <c r="FI510" s="10"/>
      <c r="FJ510" s="9"/>
      <c r="FK510" s="10"/>
      <c r="FL510" s="9"/>
      <c r="FM510" s="10"/>
      <c r="FN510" s="9"/>
      <c r="FO510" s="10"/>
      <c r="FP510" s="9"/>
      <c r="FQ510" s="10"/>
      <c r="FR510" s="9"/>
      <c r="FS510" s="10"/>
      <c r="FT510" s="9"/>
      <c r="FU510" s="10"/>
      <c r="FV510" s="9"/>
      <c r="FW510" s="10"/>
      <c r="FX510" s="9"/>
      <c r="FY510" s="10"/>
      <c r="FZ510" s="9"/>
      <c r="GA510" s="10"/>
      <c r="GB510" s="9"/>
      <c r="GC510" s="10"/>
      <c r="GD510" s="9"/>
      <c r="GE510" s="10"/>
      <c r="GF510" s="9"/>
      <c r="GG510" s="10"/>
      <c r="GH510" s="9"/>
      <c r="GI510" s="10"/>
      <c r="GJ510" s="9"/>
      <c r="GK510" s="10"/>
      <c r="GL510" s="9"/>
      <c r="GM510" s="10"/>
      <c r="GN510" s="9"/>
      <c r="GO510" s="10"/>
      <c r="GP510" s="9"/>
      <c r="GQ510" s="10"/>
      <c r="GR510" s="9"/>
      <c r="GS510" s="10"/>
      <c r="GT510" s="9"/>
      <c r="GU510" s="10"/>
      <c r="GV510" s="9"/>
      <c r="GW510" s="10"/>
      <c r="GX510" s="9"/>
      <c r="GY510" s="10"/>
      <c r="GZ510" s="9"/>
      <c r="HA510" s="10"/>
      <c r="HB510" s="9"/>
      <c r="HC510" s="10"/>
      <c r="HD510" s="9"/>
      <c r="HE510" s="10"/>
      <c r="HF510" s="9"/>
      <c r="HG510" s="10"/>
      <c r="HH510" s="9"/>
      <c r="HI510" s="10"/>
      <c r="HJ510" s="9"/>
      <c r="HK510" s="10"/>
      <c r="HL510" s="9"/>
      <c r="HM510" s="10"/>
      <c r="HN510" s="9"/>
      <c r="HO510" s="10"/>
      <c r="HP510" s="9"/>
      <c r="HQ510" s="10"/>
      <c r="HR510" s="9"/>
      <c r="HS510" s="10"/>
      <c r="HT510" s="9"/>
      <c r="HU510" s="10"/>
      <c r="HV510" s="9"/>
      <c r="HW510" s="10"/>
      <c r="HX510" s="9"/>
      <c r="HY510" s="10"/>
      <c r="HZ510" s="9"/>
      <c r="IA510" s="10"/>
      <c r="IB510" s="9"/>
      <c r="IC510" s="10"/>
      <c r="ID510" s="9"/>
      <c r="IE510" s="10"/>
      <c r="IF510" s="9"/>
      <c r="IG510" s="10"/>
      <c r="IH510" s="9"/>
      <c r="II510" s="10"/>
      <c r="IJ510" s="9"/>
      <c r="IK510" s="10"/>
      <c r="IL510" s="9"/>
      <c r="IM510" s="10"/>
      <c r="IN510" s="9"/>
      <c r="IO510" s="10"/>
      <c r="IP510" s="9"/>
      <c r="IQ510" s="10"/>
      <c r="IR510" s="9"/>
      <c r="IS510" s="10"/>
      <c r="IT510" s="9"/>
      <c r="IU510" s="10"/>
      <c r="IV510" s="9"/>
      <c r="IW510" s="10"/>
      <c r="IX510" s="9"/>
      <c r="IY510" s="10"/>
      <c r="IZ510" s="9"/>
      <c r="JA510" s="10"/>
      <c r="JB510" s="9"/>
      <c r="JC510" s="10"/>
      <c r="JD510" s="9"/>
      <c r="JE510" s="10"/>
      <c r="JF510" s="9"/>
      <c r="JG510" s="10"/>
      <c r="JH510" s="9"/>
      <c r="JI510" s="10"/>
      <c r="JJ510" s="9"/>
      <c r="JK510" s="10"/>
      <c r="JL510" s="9"/>
      <c r="JM510" s="10"/>
      <c r="JN510" s="9"/>
      <c r="JO510" s="10"/>
      <c r="JP510" s="9"/>
      <c r="JQ510" s="10"/>
      <c r="JR510" s="9"/>
      <c r="JS510" s="10"/>
      <c r="JT510" s="9"/>
      <c r="JU510" s="10"/>
      <c r="JV510" s="9"/>
      <c r="JW510" s="10"/>
      <c r="JX510" s="9"/>
      <c r="JY510" s="10"/>
      <c r="JZ510" s="9"/>
      <c r="KA510" s="10"/>
      <c r="KB510" s="9"/>
      <c r="KC510" s="10"/>
      <c r="KD510" s="9"/>
      <c r="KE510" s="10"/>
      <c r="KF510" s="9"/>
      <c r="KG510" s="10"/>
      <c r="KH510" s="9"/>
      <c r="KI510" s="10"/>
      <c r="KJ510" s="9"/>
      <c r="KK510" s="10"/>
      <c r="KL510" s="9"/>
      <c r="KM510" s="10"/>
      <c r="KN510" s="9"/>
      <c r="KO510" s="10"/>
      <c r="KP510" s="9"/>
      <c r="KQ510" s="10"/>
      <c r="KR510" s="9"/>
      <c r="KS510" s="10"/>
      <c r="KT510" s="9"/>
      <c r="KU510" s="10"/>
      <c r="KV510" s="9"/>
      <c r="KW510" s="10"/>
      <c r="KX510" s="9"/>
      <c r="KY510" s="10"/>
      <c r="KZ510" s="9"/>
      <c r="LA510" s="10"/>
      <c r="LB510" s="9"/>
      <c r="LC510" s="10"/>
      <c r="LD510" s="9"/>
      <c r="LE510" s="10"/>
      <c r="LF510" s="9"/>
      <c r="LG510" s="10"/>
      <c r="LH510" s="9"/>
      <c r="LI510" s="10"/>
      <c r="LJ510" s="9"/>
      <c r="LK510" s="10"/>
      <c r="LL510" s="9"/>
      <c r="LM510" s="10"/>
      <c r="LN510" s="9"/>
      <c r="LO510" s="10"/>
      <c r="LP510" s="9"/>
      <c r="LQ510" s="10"/>
      <c r="LR510" s="9"/>
      <c r="LS510" s="10"/>
      <c r="LT510" s="9"/>
      <c r="LU510" s="10"/>
      <c r="LV510" s="9"/>
      <c r="LW510" s="10"/>
      <c r="LX510" s="9"/>
      <c r="LY510" s="10"/>
      <c r="LZ510" s="9"/>
      <c r="MA510" s="10"/>
      <c r="MB510" s="9"/>
      <c r="MC510" s="10"/>
      <c r="MD510" s="9"/>
      <c r="ME510" s="10"/>
      <c r="MF510" s="9"/>
      <c r="MG510" s="10"/>
      <c r="MH510" s="9"/>
      <c r="MI510" s="10"/>
      <c r="MJ510" s="9"/>
      <c r="MK510" s="10"/>
      <c r="ML510" s="9"/>
      <c r="MM510" s="10"/>
      <c r="MN510" s="9"/>
      <c r="MO510" s="10"/>
      <c r="MP510" s="9"/>
      <c r="MQ510" s="10"/>
      <c r="MR510" s="9"/>
      <c r="MS510" s="10"/>
      <c r="MT510" s="9"/>
      <c r="MU510" s="10"/>
      <c r="MV510" s="9"/>
      <c r="MW510" s="10"/>
      <c r="MX510" s="9"/>
      <c r="MY510" s="10"/>
      <c r="MZ510" s="9"/>
      <c r="NA510" s="10"/>
      <c r="NB510" s="9"/>
      <c r="NC510" s="10"/>
      <c r="ND510" s="9"/>
      <c r="NE510" s="10"/>
      <c r="NF510" s="9"/>
      <c r="NG510" s="10"/>
      <c r="NH510" s="9"/>
      <c r="NI510" s="10"/>
      <c r="NJ510" s="9"/>
      <c r="NK510" s="10"/>
      <c r="NL510" s="9"/>
      <c r="NM510" s="10"/>
      <c r="NN510" s="9"/>
      <c r="NO510" s="10"/>
      <c r="NP510" s="9"/>
      <c r="NQ510" s="10"/>
      <c r="NR510" s="9"/>
      <c r="NS510" s="10"/>
      <c r="NT510" s="9"/>
      <c r="NU510" s="10"/>
      <c r="NV510" s="9"/>
      <c r="NW510" s="10"/>
      <c r="NX510" s="9"/>
      <c r="NY510" s="10"/>
      <c r="NZ510" s="9"/>
      <c r="OA510" s="10"/>
      <c r="OB510" s="9"/>
      <c r="OC510" s="10"/>
      <c r="OD510" s="9"/>
      <c r="OE510" s="10"/>
      <c r="OF510" s="9"/>
      <c r="OG510" s="10"/>
      <c r="OH510" s="9"/>
      <c r="OI510" s="10"/>
      <c r="OJ510" s="9"/>
      <c r="OK510" s="10"/>
      <c r="OL510" s="9"/>
      <c r="OM510" s="10"/>
      <c r="ON510" s="9"/>
      <c r="OO510" s="10"/>
      <c r="OP510" s="9"/>
      <c r="OQ510" s="10"/>
      <c r="OR510" s="9"/>
      <c r="OS510" s="10"/>
      <c r="OT510" s="9"/>
      <c r="OU510" s="10"/>
      <c r="OV510" s="9"/>
      <c r="OW510" s="10"/>
      <c r="OX510" s="9"/>
      <c r="OY510" s="10"/>
      <c r="OZ510" s="9"/>
      <c r="PA510" s="10"/>
      <c r="PB510" s="9"/>
      <c r="PC510" s="10"/>
      <c r="PD510" s="9"/>
      <c r="PE510" s="10"/>
      <c r="PF510" s="9"/>
      <c r="PG510" s="10"/>
      <c r="PH510" s="9"/>
      <c r="PI510" s="10"/>
      <c r="PJ510" s="9"/>
      <c r="PK510" s="10"/>
      <c r="PL510" s="9"/>
      <c r="PM510" s="10"/>
      <c r="PN510" s="9"/>
      <c r="PO510" s="10"/>
      <c r="PP510" s="9"/>
      <c r="PQ510" s="10"/>
      <c r="PR510" s="9"/>
      <c r="PS510" s="10"/>
      <c r="PT510" s="9"/>
      <c r="PU510" s="10"/>
      <c r="PV510" s="9"/>
      <c r="PW510" s="10"/>
      <c r="PX510" s="9"/>
      <c r="PY510" s="10"/>
      <c r="PZ510" s="9"/>
      <c r="QA510" s="10"/>
      <c r="QB510" s="9"/>
      <c r="QC510" s="10"/>
      <c r="QD510" s="9"/>
      <c r="QE510" s="10"/>
      <c r="QF510" s="9"/>
      <c r="QG510" s="10"/>
      <c r="QH510" s="9"/>
      <c r="QI510" s="10"/>
      <c r="QJ510" s="9"/>
      <c r="QK510" s="10"/>
      <c r="QL510" s="9"/>
      <c r="QM510" s="10"/>
      <c r="QN510" s="9"/>
      <c r="QO510" s="10"/>
      <c r="QP510" s="9"/>
      <c r="QQ510" s="10"/>
      <c r="QR510" s="9"/>
      <c r="QS510" s="10"/>
      <c r="QT510" s="9"/>
      <c r="QU510" s="10"/>
      <c r="QV510" s="9"/>
      <c r="QW510" s="10"/>
      <c r="QX510" s="9"/>
      <c r="QY510" s="10"/>
      <c r="QZ510" s="9"/>
      <c r="RA510" s="10"/>
      <c r="RB510" s="9"/>
      <c r="RC510" s="10"/>
      <c r="RD510" s="9"/>
      <c r="RE510" s="10"/>
      <c r="RF510" s="9"/>
      <c r="RG510" s="10"/>
      <c r="RH510" s="9"/>
      <c r="RI510" s="10"/>
      <c r="RJ510" s="9"/>
      <c r="RK510" s="10"/>
      <c r="RL510" s="9"/>
      <c r="RM510" s="10"/>
      <c r="RN510" s="9"/>
      <c r="RO510" s="10"/>
      <c r="RP510" s="9"/>
      <c r="RQ510" s="10"/>
      <c r="RR510" s="9"/>
      <c r="RS510" s="10"/>
      <c r="RT510" s="9"/>
      <c r="RU510" s="10"/>
      <c r="RV510" s="9"/>
      <c r="RW510" s="10"/>
      <c r="RX510" s="9"/>
      <c r="RY510" s="10"/>
      <c r="RZ510" s="9"/>
      <c r="SA510" s="10"/>
      <c r="SB510" s="9"/>
      <c r="SC510" s="10"/>
      <c r="SD510" s="9"/>
      <c r="SE510" s="11"/>
    </row>
    <row r="511" spans="2:499" x14ac:dyDescent="0.3">
      <c r="B511" s="2" t="str">
        <f>Tabla1[[#Headers],[Fome Deportivo Pensionados Jubl]]</f>
        <v>Fome Deportivo Pensionados Jubl</v>
      </c>
      <c r="C511" s="2">
        <f>SUM(Tabla1[Fome Deportivo Pensionados Jubl])</f>
        <v>1962313</v>
      </c>
      <c r="E511" s="8"/>
      <c r="F511" s="9"/>
      <c r="G511" s="10"/>
      <c r="H511" s="9"/>
      <c r="I511" s="10"/>
      <c r="J511" s="9"/>
      <c r="K511" s="10"/>
      <c r="L511" s="9"/>
      <c r="M511" s="10"/>
      <c r="N511" s="9"/>
      <c r="O511" s="10"/>
      <c r="P511" s="9"/>
      <c r="Q511" s="10"/>
      <c r="R511" s="9"/>
      <c r="S511" s="10"/>
      <c r="T511" s="9"/>
      <c r="U511" s="10"/>
      <c r="V511" s="9"/>
      <c r="W511" s="10"/>
      <c r="X511" s="9"/>
      <c r="Y511" s="10"/>
      <c r="Z511" s="9"/>
      <c r="AA511" s="10"/>
      <c r="AB511" s="9"/>
      <c r="AC511" s="10"/>
      <c r="AD511" s="9"/>
      <c r="AE511" s="10"/>
      <c r="AF511" s="9"/>
      <c r="AG511" s="10"/>
      <c r="AH511" s="9"/>
      <c r="AI511" s="10"/>
      <c r="AJ511" s="9"/>
      <c r="AK511" s="10"/>
      <c r="AL511" s="9"/>
      <c r="AM511" s="10"/>
      <c r="AN511" s="9"/>
      <c r="AO511" s="10"/>
      <c r="AP511" s="9"/>
      <c r="AQ511" s="10"/>
      <c r="AR511" s="9"/>
      <c r="AS511" s="10"/>
      <c r="AT511" s="9"/>
      <c r="AU511" s="10"/>
      <c r="AV511" s="9"/>
      <c r="AW511" s="10"/>
      <c r="AX511" s="9"/>
      <c r="AY511" s="10"/>
      <c r="AZ511" s="9"/>
      <c r="BA511" s="10"/>
      <c r="BB511" s="9"/>
      <c r="BC511" s="10"/>
      <c r="BD511" s="9"/>
      <c r="BE511" s="10"/>
      <c r="BF511" s="9"/>
      <c r="BG511" s="10"/>
      <c r="BH511" s="9"/>
      <c r="BI511" s="10"/>
      <c r="BJ511" s="9"/>
      <c r="BK511" s="10"/>
      <c r="BL511" s="9"/>
      <c r="BM511" s="10"/>
      <c r="BN511" s="9"/>
      <c r="BO511" s="10"/>
      <c r="BP511" s="9"/>
      <c r="BQ511" s="10"/>
      <c r="BR511" s="9"/>
      <c r="BS511" s="10"/>
      <c r="BT511" s="9"/>
      <c r="BU511" s="10"/>
      <c r="BV511" s="9"/>
      <c r="BW511" s="10"/>
      <c r="BX511" s="9"/>
      <c r="BY511" s="10"/>
      <c r="BZ511" s="9"/>
      <c r="CA511" s="10"/>
      <c r="CB511" s="9"/>
      <c r="CC511" s="10"/>
      <c r="CD511" s="9"/>
      <c r="CE511" s="10"/>
      <c r="CF511" s="9"/>
      <c r="CG511" s="10"/>
      <c r="CH511" s="9"/>
      <c r="CI511" s="10"/>
      <c r="CJ511" s="9"/>
      <c r="CK511" s="10"/>
      <c r="CL511" s="9"/>
      <c r="CM511" s="10"/>
      <c r="CN511" s="9"/>
      <c r="CO511" s="10"/>
      <c r="CP511" s="9"/>
      <c r="CQ511" s="10"/>
      <c r="CR511" s="9"/>
      <c r="CS511" s="10"/>
      <c r="CT511" s="9"/>
      <c r="CU511" s="10"/>
      <c r="CV511" s="9"/>
      <c r="CW511" s="10"/>
      <c r="CX511" s="9"/>
      <c r="CY511" s="10"/>
      <c r="CZ511" s="9"/>
      <c r="DA511" s="10"/>
      <c r="DB511" s="9"/>
      <c r="DC511" s="10"/>
      <c r="DD511" s="9"/>
      <c r="DE511" s="10"/>
      <c r="DF511" s="9"/>
      <c r="DG511" s="10"/>
      <c r="DH511" s="9"/>
      <c r="DI511" s="10"/>
      <c r="DJ511" s="9"/>
      <c r="DK511" s="10"/>
      <c r="DL511" s="9"/>
      <c r="DM511" s="10"/>
      <c r="DN511" s="9"/>
      <c r="DO511" s="10"/>
      <c r="DP511" s="9"/>
      <c r="DQ511" s="10"/>
      <c r="DR511" s="9"/>
      <c r="DS511" s="10"/>
      <c r="DT511" s="9"/>
      <c r="DU511" s="10"/>
      <c r="DV511" s="9"/>
      <c r="DW511" s="10"/>
      <c r="DX511" s="9"/>
      <c r="DY511" s="10"/>
      <c r="DZ511" s="9"/>
      <c r="EA511" s="10"/>
      <c r="EB511" s="9"/>
      <c r="EC511" s="10"/>
      <c r="ED511" s="9"/>
      <c r="EE511" s="10"/>
      <c r="EF511" s="9"/>
      <c r="EG511" s="10"/>
      <c r="EH511" s="9"/>
      <c r="EI511" s="10"/>
      <c r="EJ511" s="9"/>
      <c r="EK511" s="10"/>
      <c r="EL511" s="9"/>
      <c r="EM511" s="10"/>
      <c r="EN511" s="9"/>
      <c r="EO511" s="10"/>
      <c r="EP511" s="9"/>
      <c r="EQ511" s="10"/>
      <c r="ER511" s="9"/>
      <c r="ES511" s="10"/>
      <c r="ET511" s="9"/>
      <c r="EU511" s="10"/>
      <c r="EV511" s="9"/>
      <c r="EW511" s="10"/>
      <c r="EX511" s="9"/>
      <c r="EY511" s="10"/>
      <c r="EZ511" s="9"/>
      <c r="FA511" s="10"/>
      <c r="FB511" s="9"/>
      <c r="FC511" s="10"/>
      <c r="FD511" s="9"/>
      <c r="FE511" s="10"/>
      <c r="FF511" s="9"/>
      <c r="FG511" s="10"/>
      <c r="FH511" s="9"/>
      <c r="FI511" s="10"/>
      <c r="FJ511" s="9"/>
      <c r="FK511" s="10"/>
      <c r="FL511" s="9"/>
      <c r="FM511" s="10"/>
      <c r="FN511" s="9"/>
      <c r="FO511" s="10"/>
      <c r="FP511" s="9"/>
      <c r="FQ511" s="10"/>
      <c r="FR511" s="9"/>
      <c r="FS511" s="10"/>
      <c r="FT511" s="9"/>
      <c r="FU511" s="10"/>
      <c r="FV511" s="9"/>
      <c r="FW511" s="10"/>
      <c r="FX511" s="9"/>
      <c r="FY511" s="10"/>
      <c r="FZ511" s="9"/>
      <c r="GA511" s="10"/>
      <c r="GB511" s="9"/>
      <c r="GC511" s="10"/>
      <c r="GD511" s="9"/>
      <c r="GE511" s="10"/>
      <c r="GF511" s="9"/>
      <c r="GG511" s="10"/>
      <c r="GH511" s="9"/>
      <c r="GI511" s="10"/>
      <c r="GJ511" s="9"/>
      <c r="GK511" s="10"/>
      <c r="GL511" s="9"/>
      <c r="GM511" s="10"/>
      <c r="GN511" s="9"/>
      <c r="GO511" s="10"/>
      <c r="GP511" s="9"/>
      <c r="GQ511" s="10"/>
      <c r="GR511" s="9"/>
      <c r="GS511" s="10"/>
      <c r="GT511" s="9"/>
      <c r="GU511" s="10"/>
      <c r="GV511" s="9"/>
      <c r="GW511" s="10"/>
      <c r="GX511" s="9"/>
      <c r="GY511" s="10"/>
      <c r="GZ511" s="9"/>
      <c r="HA511" s="10"/>
      <c r="HB511" s="9"/>
      <c r="HC511" s="10"/>
      <c r="HD511" s="9"/>
      <c r="HE511" s="10"/>
      <c r="HF511" s="9"/>
      <c r="HG511" s="10"/>
      <c r="HH511" s="9"/>
      <c r="HI511" s="10"/>
      <c r="HJ511" s="9"/>
      <c r="HK511" s="10"/>
      <c r="HL511" s="9"/>
      <c r="HM511" s="10"/>
      <c r="HN511" s="9"/>
      <c r="HO511" s="10"/>
      <c r="HP511" s="9"/>
      <c r="HQ511" s="10"/>
      <c r="HR511" s="9"/>
      <c r="HS511" s="10"/>
      <c r="HT511" s="9"/>
      <c r="HU511" s="10"/>
      <c r="HV511" s="9"/>
      <c r="HW511" s="10"/>
      <c r="HX511" s="9"/>
      <c r="HY511" s="10"/>
      <c r="HZ511" s="9"/>
      <c r="IA511" s="10"/>
      <c r="IB511" s="9"/>
      <c r="IC511" s="10"/>
      <c r="ID511" s="9"/>
      <c r="IE511" s="10"/>
      <c r="IF511" s="9"/>
      <c r="IG511" s="10"/>
      <c r="IH511" s="9"/>
      <c r="II511" s="10"/>
      <c r="IJ511" s="9"/>
      <c r="IK511" s="10"/>
      <c r="IL511" s="9"/>
      <c r="IM511" s="10"/>
      <c r="IN511" s="9"/>
      <c r="IO511" s="10"/>
      <c r="IP511" s="9"/>
      <c r="IQ511" s="10"/>
      <c r="IR511" s="9"/>
      <c r="IS511" s="10"/>
      <c r="IT511" s="9"/>
      <c r="IU511" s="10"/>
      <c r="IV511" s="9"/>
      <c r="IW511" s="10"/>
      <c r="IX511" s="9"/>
      <c r="IY511" s="10"/>
      <c r="IZ511" s="9"/>
      <c r="JA511" s="10"/>
      <c r="JB511" s="9"/>
      <c r="JC511" s="10"/>
      <c r="JD511" s="9"/>
      <c r="JE511" s="10"/>
      <c r="JF511" s="9"/>
      <c r="JG511" s="10"/>
      <c r="JH511" s="9"/>
      <c r="JI511" s="10"/>
      <c r="JJ511" s="9"/>
      <c r="JK511" s="10"/>
      <c r="JL511" s="9"/>
      <c r="JM511" s="10"/>
      <c r="JN511" s="9"/>
      <c r="JO511" s="10"/>
      <c r="JP511" s="9"/>
      <c r="JQ511" s="10"/>
      <c r="JR511" s="9"/>
      <c r="JS511" s="10"/>
      <c r="JT511" s="9"/>
      <c r="JU511" s="10"/>
      <c r="JV511" s="9"/>
      <c r="JW511" s="10"/>
      <c r="JX511" s="9"/>
      <c r="JY511" s="10"/>
      <c r="JZ511" s="9"/>
      <c r="KA511" s="10"/>
      <c r="KB511" s="9"/>
      <c r="KC511" s="10"/>
      <c r="KD511" s="9"/>
      <c r="KE511" s="10"/>
      <c r="KF511" s="9"/>
      <c r="KG511" s="10"/>
      <c r="KH511" s="9"/>
      <c r="KI511" s="10"/>
      <c r="KJ511" s="9"/>
      <c r="KK511" s="10"/>
      <c r="KL511" s="9"/>
      <c r="KM511" s="10"/>
      <c r="KN511" s="9"/>
      <c r="KO511" s="10"/>
      <c r="KP511" s="9"/>
      <c r="KQ511" s="10"/>
      <c r="KR511" s="9"/>
      <c r="KS511" s="10"/>
      <c r="KT511" s="9"/>
      <c r="KU511" s="10"/>
      <c r="KV511" s="9"/>
      <c r="KW511" s="10"/>
      <c r="KX511" s="9"/>
      <c r="KY511" s="10"/>
      <c r="KZ511" s="9"/>
      <c r="LA511" s="10"/>
      <c r="LB511" s="9"/>
      <c r="LC511" s="10"/>
      <c r="LD511" s="9"/>
      <c r="LE511" s="10"/>
      <c r="LF511" s="9"/>
      <c r="LG511" s="10"/>
      <c r="LH511" s="9"/>
      <c r="LI511" s="10"/>
      <c r="LJ511" s="9"/>
      <c r="LK511" s="10"/>
      <c r="LL511" s="9"/>
      <c r="LM511" s="10"/>
      <c r="LN511" s="9"/>
      <c r="LO511" s="10"/>
      <c r="LP511" s="9"/>
      <c r="LQ511" s="10"/>
      <c r="LR511" s="9"/>
      <c r="LS511" s="10"/>
      <c r="LT511" s="9"/>
      <c r="LU511" s="10"/>
      <c r="LV511" s="9"/>
      <c r="LW511" s="10"/>
      <c r="LX511" s="9"/>
      <c r="LY511" s="10"/>
      <c r="LZ511" s="9"/>
      <c r="MA511" s="10"/>
      <c r="MB511" s="9"/>
      <c r="MC511" s="10"/>
      <c r="MD511" s="9"/>
      <c r="ME511" s="10"/>
      <c r="MF511" s="9"/>
      <c r="MG511" s="10"/>
      <c r="MH511" s="9"/>
      <c r="MI511" s="10"/>
      <c r="MJ511" s="9"/>
      <c r="MK511" s="10"/>
      <c r="ML511" s="9"/>
      <c r="MM511" s="10"/>
      <c r="MN511" s="9"/>
      <c r="MO511" s="10"/>
      <c r="MP511" s="9"/>
      <c r="MQ511" s="10"/>
      <c r="MR511" s="9"/>
      <c r="MS511" s="10"/>
      <c r="MT511" s="9"/>
      <c r="MU511" s="10"/>
      <c r="MV511" s="9"/>
      <c r="MW511" s="10"/>
      <c r="MX511" s="9"/>
      <c r="MY511" s="10"/>
      <c r="MZ511" s="9"/>
      <c r="NA511" s="10"/>
      <c r="NB511" s="9"/>
      <c r="NC511" s="10"/>
      <c r="ND511" s="9"/>
      <c r="NE511" s="10"/>
      <c r="NF511" s="9"/>
      <c r="NG511" s="10"/>
      <c r="NH511" s="9"/>
      <c r="NI511" s="10"/>
      <c r="NJ511" s="9"/>
      <c r="NK511" s="10"/>
      <c r="NL511" s="9"/>
      <c r="NM511" s="10"/>
      <c r="NN511" s="9"/>
      <c r="NO511" s="10"/>
      <c r="NP511" s="9"/>
      <c r="NQ511" s="10"/>
      <c r="NR511" s="9"/>
      <c r="NS511" s="10"/>
      <c r="NT511" s="9"/>
      <c r="NU511" s="10"/>
      <c r="NV511" s="9"/>
      <c r="NW511" s="10"/>
      <c r="NX511" s="9"/>
      <c r="NY511" s="10"/>
      <c r="NZ511" s="9"/>
      <c r="OA511" s="10"/>
      <c r="OB511" s="9"/>
      <c r="OC511" s="10"/>
      <c r="OD511" s="9"/>
      <c r="OE511" s="10"/>
      <c r="OF511" s="9"/>
      <c r="OG511" s="10"/>
      <c r="OH511" s="9"/>
      <c r="OI511" s="10"/>
      <c r="OJ511" s="9"/>
      <c r="OK511" s="10"/>
      <c r="OL511" s="9"/>
      <c r="OM511" s="10"/>
      <c r="ON511" s="9"/>
      <c r="OO511" s="10"/>
      <c r="OP511" s="9"/>
      <c r="OQ511" s="10"/>
      <c r="OR511" s="9"/>
      <c r="OS511" s="10"/>
      <c r="OT511" s="9"/>
      <c r="OU511" s="10"/>
      <c r="OV511" s="9"/>
      <c r="OW511" s="10"/>
      <c r="OX511" s="9"/>
      <c r="OY511" s="10"/>
      <c r="OZ511" s="9"/>
      <c r="PA511" s="10"/>
      <c r="PB511" s="9"/>
      <c r="PC511" s="10"/>
      <c r="PD511" s="9"/>
      <c r="PE511" s="10"/>
      <c r="PF511" s="9"/>
      <c r="PG511" s="10"/>
      <c r="PH511" s="9"/>
      <c r="PI511" s="10"/>
      <c r="PJ511" s="9"/>
      <c r="PK511" s="10"/>
      <c r="PL511" s="9"/>
      <c r="PM511" s="10"/>
      <c r="PN511" s="9"/>
      <c r="PO511" s="10"/>
      <c r="PP511" s="9"/>
      <c r="PQ511" s="10"/>
      <c r="PR511" s="9"/>
      <c r="PS511" s="10"/>
      <c r="PT511" s="9"/>
      <c r="PU511" s="10"/>
      <c r="PV511" s="9"/>
      <c r="PW511" s="10"/>
      <c r="PX511" s="9"/>
      <c r="PY511" s="10"/>
      <c r="PZ511" s="9"/>
      <c r="QA511" s="10"/>
      <c r="QB511" s="9"/>
      <c r="QC511" s="10"/>
      <c r="QD511" s="9"/>
      <c r="QE511" s="10"/>
      <c r="QF511" s="9"/>
      <c r="QG511" s="10"/>
      <c r="QH511" s="9"/>
      <c r="QI511" s="10"/>
      <c r="QJ511" s="9"/>
      <c r="QK511" s="10"/>
      <c r="QL511" s="9"/>
      <c r="QM511" s="10"/>
      <c r="QN511" s="9"/>
      <c r="QO511" s="10"/>
      <c r="QP511" s="9"/>
      <c r="QQ511" s="10"/>
      <c r="QR511" s="9"/>
      <c r="QS511" s="10"/>
      <c r="QT511" s="9"/>
      <c r="QU511" s="10"/>
      <c r="QV511" s="9"/>
      <c r="QW511" s="10"/>
      <c r="QX511" s="9"/>
      <c r="QY511" s="10"/>
      <c r="QZ511" s="9"/>
      <c r="RA511" s="10"/>
      <c r="RB511" s="9"/>
      <c r="RC511" s="10"/>
      <c r="RD511" s="9"/>
      <c r="RE511" s="10"/>
      <c r="RF511" s="9"/>
      <c r="RG511" s="10"/>
      <c r="RH511" s="9"/>
      <c r="RI511" s="10"/>
      <c r="RJ511" s="9"/>
      <c r="RK511" s="10"/>
      <c r="RL511" s="9"/>
      <c r="RM511" s="10"/>
      <c r="RN511" s="9"/>
      <c r="RO511" s="10"/>
      <c r="RP511" s="9"/>
      <c r="RQ511" s="10"/>
      <c r="RR511" s="9"/>
      <c r="RS511" s="10"/>
      <c r="RT511" s="9"/>
      <c r="RU511" s="10"/>
      <c r="RV511" s="9"/>
      <c r="RW511" s="10"/>
      <c r="RX511" s="9"/>
      <c r="RY511" s="10"/>
      <c r="RZ511" s="9"/>
      <c r="SA511" s="10"/>
      <c r="SB511" s="9"/>
      <c r="SC511" s="10"/>
      <c r="SD511" s="9"/>
      <c r="SE511" s="11"/>
    </row>
    <row r="512" spans="2:499" x14ac:dyDescent="0.3">
      <c r="B512" s="2" t="str">
        <f>Tabla1[[#Headers],[Serv. Culturales Pensionados Jubl]]</f>
        <v>Serv. Culturales Pensionados Jubl</v>
      </c>
      <c r="C512" s="2">
        <f>SUM(Tabla1[Serv. Culturales Pensionados Jubl])</f>
        <v>3250887</v>
      </c>
      <c r="E512" s="8"/>
      <c r="F512" s="9"/>
      <c r="G512" s="10"/>
      <c r="H512" s="9"/>
      <c r="I512" s="10"/>
      <c r="J512" s="9"/>
      <c r="K512" s="10"/>
      <c r="L512" s="9"/>
      <c r="M512" s="10"/>
      <c r="N512" s="9"/>
      <c r="O512" s="10"/>
      <c r="P512" s="9"/>
      <c r="Q512" s="10"/>
      <c r="R512" s="9"/>
      <c r="S512" s="10"/>
      <c r="T512" s="9"/>
      <c r="U512" s="10"/>
      <c r="V512" s="9"/>
      <c r="W512" s="10"/>
      <c r="X512" s="9"/>
      <c r="Y512" s="10"/>
      <c r="Z512" s="9"/>
      <c r="AA512" s="10"/>
      <c r="AB512" s="9"/>
      <c r="AC512" s="10"/>
      <c r="AD512" s="9"/>
      <c r="AE512" s="10"/>
      <c r="AF512" s="9"/>
      <c r="AG512" s="10"/>
      <c r="AH512" s="9"/>
      <c r="AI512" s="10"/>
      <c r="AJ512" s="9"/>
      <c r="AK512" s="10"/>
      <c r="AL512" s="9"/>
      <c r="AM512" s="10"/>
      <c r="AN512" s="9"/>
      <c r="AO512" s="10"/>
      <c r="AP512" s="9"/>
      <c r="AQ512" s="10"/>
      <c r="AR512" s="9"/>
      <c r="AS512" s="10"/>
      <c r="AT512" s="9"/>
      <c r="AU512" s="10"/>
      <c r="AV512" s="9"/>
      <c r="AW512" s="10"/>
      <c r="AX512" s="9"/>
      <c r="AY512" s="10"/>
      <c r="AZ512" s="9"/>
      <c r="BA512" s="10"/>
      <c r="BB512" s="9"/>
      <c r="BC512" s="10"/>
      <c r="BD512" s="9"/>
      <c r="BE512" s="10"/>
      <c r="BF512" s="9"/>
      <c r="BG512" s="10"/>
      <c r="BH512" s="9"/>
      <c r="BI512" s="10"/>
      <c r="BJ512" s="9"/>
      <c r="BK512" s="10"/>
      <c r="BL512" s="9"/>
      <c r="BM512" s="10"/>
      <c r="BN512" s="9"/>
      <c r="BO512" s="10"/>
      <c r="BP512" s="9"/>
      <c r="BQ512" s="10"/>
      <c r="BR512" s="9"/>
      <c r="BS512" s="10"/>
      <c r="BT512" s="9"/>
      <c r="BU512" s="10"/>
      <c r="BV512" s="9"/>
      <c r="BW512" s="10"/>
      <c r="BX512" s="9"/>
      <c r="BY512" s="10"/>
      <c r="BZ512" s="9"/>
      <c r="CA512" s="10"/>
      <c r="CB512" s="9"/>
      <c r="CC512" s="10"/>
      <c r="CD512" s="9"/>
      <c r="CE512" s="10"/>
      <c r="CF512" s="9"/>
      <c r="CG512" s="10"/>
      <c r="CH512" s="9"/>
      <c r="CI512" s="10"/>
      <c r="CJ512" s="9"/>
      <c r="CK512" s="10"/>
      <c r="CL512" s="9"/>
      <c r="CM512" s="10"/>
      <c r="CN512" s="9"/>
      <c r="CO512" s="10"/>
      <c r="CP512" s="9"/>
      <c r="CQ512" s="10"/>
      <c r="CR512" s="9"/>
      <c r="CS512" s="10"/>
      <c r="CT512" s="9"/>
      <c r="CU512" s="10"/>
      <c r="CV512" s="9"/>
      <c r="CW512" s="10"/>
      <c r="CX512" s="9"/>
      <c r="CY512" s="10"/>
      <c r="CZ512" s="9"/>
      <c r="DA512" s="10"/>
      <c r="DB512" s="9"/>
      <c r="DC512" s="10"/>
      <c r="DD512" s="9"/>
      <c r="DE512" s="10"/>
      <c r="DF512" s="9"/>
      <c r="DG512" s="10"/>
      <c r="DH512" s="9"/>
      <c r="DI512" s="10"/>
      <c r="DJ512" s="9"/>
      <c r="DK512" s="10"/>
      <c r="DL512" s="9"/>
      <c r="DM512" s="10"/>
      <c r="DN512" s="9"/>
      <c r="DO512" s="10"/>
      <c r="DP512" s="9"/>
      <c r="DQ512" s="10"/>
      <c r="DR512" s="9"/>
      <c r="DS512" s="10"/>
      <c r="DT512" s="9"/>
      <c r="DU512" s="10"/>
      <c r="DV512" s="9"/>
      <c r="DW512" s="10"/>
      <c r="DX512" s="9"/>
      <c r="DY512" s="10"/>
      <c r="DZ512" s="9"/>
      <c r="EA512" s="10"/>
      <c r="EB512" s="9"/>
      <c r="EC512" s="10"/>
      <c r="ED512" s="9"/>
      <c r="EE512" s="10"/>
      <c r="EF512" s="9"/>
      <c r="EG512" s="10"/>
      <c r="EH512" s="9"/>
      <c r="EI512" s="10"/>
      <c r="EJ512" s="9"/>
      <c r="EK512" s="10"/>
      <c r="EL512" s="9"/>
      <c r="EM512" s="10"/>
      <c r="EN512" s="9"/>
      <c r="EO512" s="10"/>
      <c r="EP512" s="9"/>
      <c r="EQ512" s="10"/>
      <c r="ER512" s="9"/>
      <c r="ES512" s="10"/>
      <c r="ET512" s="9"/>
      <c r="EU512" s="10"/>
      <c r="EV512" s="9"/>
      <c r="EW512" s="10"/>
      <c r="EX512" s="9"/>
      <c r="EY512" s="10"/>
      <c r="EZ512" s="9"/>
      <c r="FA512" s="10"/>
      <c r="FB512" s="9"/>
      <c r="FC512" s="10"/>
      <c r="FD512" s="9"/>
      <c r="FE512" s="10"/>
      <c r="FF512" s="9"/>
      <c r="FG512" s="10"/>
      <c r="FH512" s="9"/>
      <c r="FI512" s="10"/>
      <c r="FJ512" s="9"/>
      <c r="FK512" s="10"/>
      <c r="FL512" s="9"/>
      <c r="FM512" s="10"/>
      <c r="FN512" s="9"/>
      <c r="FO512" s="10"/>
      <c r="FP512" s="9"/>
      <c r="FQ512" s="10"/>
      <c r="FR512" s="9"/>
      <c r="FS512" s="10"/>
      <c r="FT512" s="9"/>
      <c r="FU512" s="10"/>
      <c r="FV512" s="9"/>
      <c r="FW512" s="10"/>
      <c r="FX512" s="9"/>
      <c r="FY512" s="10"/>
      <c r="FZ512" s="9"/>
      <c r="GA512" s="10"/>
      <c r="GB512" s="9"/>
      <c r="GC512" s="10"/>
      <c r="GD512" s="9"/>
      <c r="GE512" s="10"/>
      <c r="GF512" s="9"/>
      <c r="GG512" s="10"/>
      <c r="GH512" s="9"/>
      <c r="GI512" s="10"/>
      <c r="GJ512" s="9"/>
      <c r="GK512" s="10"/>
      <c r="GL512" s="9"/>
      <c r="GM512" s="10"/>
      <c r="GN512" s="9"/>
      <c r="GO512" s="10"/>
      <c r="GP512" s="9"/>
      <c r="GQ512" s="10"/>
      <c r="GR512" s="9"/>
      <c r="GS512" s="10"/>
      <c r="GT512" s="9"/>
      <c r="GU512" s="10"/>
      <c r="GV512" s="9"/>
      <c r="GW512" s="10"/>
      <c r="GX512" s="9"/>
      <c r="GY512" s="10"/>
      <c r="GZ512" s="9"/>
      <c r="HA512" s="10"/>
      <c r="HB512" s="9"/>
      <c r="HC512" s="10"/>
      <c r="HD512" s="9"/>
      <c r="HE512" s="10"/>
      <c r="HF512" s="9"/>
      <c r="HG512" s="10"/>
      <c r="HH512" s="9"/>
      <c r="HI512" s="10"/>
      <c r="HJ512" s="9"/>
      <c r="HK512" s="10"/>
      <c r="HL512" s="9"/>
      <c r="HM512" s="10"/>
      <c r="HN512" s="9"/>
      <c r="HO512" s="10"/>
      <c r="HP512" s="9"/>
      <c r="HQ512" s="10"/>
      <c r="HR512" s="9"/>
      <c r="HS512" s="10"/>
      <c r="HT512" s="9"/>
      <c r="HU512" s="10"/>
      <c r="HV512" s="9"/>
      <c r="HW512" s="10"/>
      <c r="HX512" s="9"/>
      <c r="HY512" s="10"/>
      <c r="HZ512" s="9"/>
      <c r="IA512" s="10"/>
      <c r="IB512" s="9"/>
      <c r="IC512" s="10"/>
      <c r="ID512" s="9"/>
      <c r="IE512" s="10"/>
      <c r="IF512" s="9"/>
      <c r="IG512" s="10"/>
      <c r="IH512" s="9"/>
      <c r="II512" s="10"/>
      <c r="IJ512" s="9"/>
      <c r="IK512" s="10"/>
      <c r="IL512" s="9"/>
      <c r="IM512" s="10"/>
      <c r="IN512" s="9"/>
      <c r="IO512" s="10"/>
      <c r="IP512" s="9"/>
      <c r="IQ512" s="10"/>
      <c r="IR512" s="9"/>
      <c r="IS512" s="10"/>
      <c r="IT512" s="9"/>
      <c r="IU512" s="10"/>
      <c r="IV512" s="9"/>
      <c r="IW512" s="10"/>
      <c r="IX512" s="9"/>
      <c r="IY512" s="10"/>
      <c r="IZ512" s="9"/>
      <c r="JA512" s="10"/>
      <c r="JB512" s="9"/>
      <c r="JC512" s="10"/>
      <c r="JD512" s="9"/>
      <c r="JE512" s="10"/>
      <c r="JF512" s="9"/>
      <c r="JG512" s="10"/>
      <c r="JH512" s="9"/>
      <c r="JI512" s="10"/>
      <c r="JJ512" s="9"/>
      <c r="JK512" s="10"/>
      <c r="JL512" s="9"/>
      <c r="JM512" s="10"/>
      <c r="JN512" s="9"/>
      <c r="JO512" s="10"/>
      <c r="JP512" s="9"/>
      <c r="JQ512" s="10"/>
      <c r="JR512" s="9"/>
      <c r="JS512" s="10"/>
      <c r="JT512" s="9"/>
      <c r="JU512" s="10"/>
      <c r="JV512" s="9"/>
      <c r="JW512" s="10"/>
      <c r="JX512" s="9"/>
      <c r="JY512" s="10"/>
      <c r="JZ512" s="9"/>
      <c r="KA512" s="10"/>
      <c r="KB512" s="9"/>
      <c r="KC512" s="10"/>
      <c r="KD512" s="9"/>
      <c r="KE512" s="10"/>
      <c r="KF512" s="9"/>
      <c r="KG512" s="10"/>
      <c r="KH512" s="9"/>
      <c r="KI512" s="10"/>
      <c r="KJ512" s="9"/>
      <c r="KK512" s="10"/>
      <c r="KL512" s="9"/>
      <c r="KM512" s="10"/>
      <c r="KN512" s="9"/>
      <c r="KO512" s="10"/>
      <c r="KP512" s="9"/>
      <c r="KQ512" s="10"/>
      <c r="KR512" s="9"/>
      <c r="KS512" s="10"/>
      <c r="KT512" s="9"/>
      <c r="KU512" s="10"/>
      <c r="KV512" s="9"/>
      <c r="KW512" s="10"/>
      <c r="KX512" s="9"/>
      <c r="KY512" s="10"/>
      <c r="KZ512" s="9"/>
      <c r="LA512" s="10"/>
      <c r="LB512" s="9"/>
      <c r="LC512" s="10"/>
      <c r="LD512" s="9"/>
      <c r="LE512" s="10"/>
      <c r="LF512" s="9"/>
      <c r="LG512" s="10"/>
      <c r="LH512" s="9"/>
      <c r="LI512" s="10"/>
      <c r="LJ512" s="9"/>
      <c r="LK512" s="10"/>
      <c r="LL512" s="9"/>
      <c r="LM512" s="10"/>
      <c r="LN512" s="9"/>
      <c r="LO512" s="10"/>
      <c r="LP512" s="9"/>
      <c r="LQ512" s="10"/>
      <c r="LR512" s="9"/>
      <c r="LS512" s="10"/>
      <c r="LT512" s="9"/>
      <c r="LU512" s="10"/>
      <c r="LV512" s="9"/>
      <c r="LW512" s="10"/>
      <c r="LX512" s="9"/>
      <c r="LY512" s="10"/>
      <c r="LZ512" s="9"/>
      <c r="MA512" s="10"/>
      <c r="MB512" s="9"/>
      <c r="MC512" s="10"/>
      <c r="MD512" s="9"/>
      <c r="ME512" s="10"/>
      <c r="MF512" s="9"/>
      <c r="MG512" s="10"/>
      <c r="MH512" s="9"/>
      <c r="MI512" s="10"/>
      <c r="MJ512" s="9"/>
      <c r="MK512" s="10"/>
      <c r="ML512" s="9"/>
      <c r="MM512" s="10"/>
      <c r="MN512" s="9"/>
      <c r="MO512" s="10"/>
      <c r="MP512" s="9"/>
      <c r="MQ512" s="10"/>
      <c r="MR512" s="9"/>
      <c r="MS512" s="10"/>
      <c r="MT512" s="9"/>
      <c r="MU512" s="10"/>
      <c r="MV512" s="9"/>
      <c r="MW512" s="10"/>
      <c r="MX512" s="9"/>
      <c r="MY512" s="10"/>
      <c r="MZ512" s="9"/>
      <c r="NA512" s="10"/>
      <c r="NB512" s="9"/>
      <c r="NC512" s="10"/>
      <c r="ND512" s="9"/>
      <c r="NE512" s="10"/>
      <c r="NF512" s="9"/>
      <c r="NG512" s="10"/>
      <c r="NH512" s="9"/>
      <c r="NI512" s="10"/>
      <c r="NJ512" s="9"/>
      <c r="NK512" s="10"/>
      <c r="NL512" s="9"/>
      <c r="NM512" s="10"/>
      <c r="NN512" s="9"/>
      <c r="NO512" s="10"/>
      <c r="NP512" s="9"/>
      <c r="NQ512" s="10"/>
      <c r="NR512" s="9"/>
      <c r="NS512" s="10"/>
      <c r="NT512" s="9"/>
      <c r="NU512" s="10"/>
      <c r="NV512" s="9"/>
      <c r="NW512" s="10"/>
      <c r="NX512" s="9"/>
      <c r="NY512" s="10"/>
      <c r="NZ512" s="9"/>
      <c r="OA512" s="10"/>
      <c r="OB512" s="9"/>
      <c r="OC512" s="10"/>
      <c r="OD512" s="9"/>
      <c r="OE512" s="10"/>
      <c r="OF512" s="9"/>
      <c r="OG512" s="10"/>
      <c r="OH512" s="9"/>
      <c r="OI512" s="10"/>
      <c r="OJ512" s="9"/>
      <c r="OK512" s="10"/>
      <c r="OL512" s="9"/>
      <c r="OM512" s="10"/>
      <c r="ON512" s="9"/>
      <c r="OO512" s="10"/>
      <c r="OP512" s="9"/>
      <c r="OQ512" s="10"/>
      <c r="OR512" s="9"/>
      <c r="OS512" s="10"/>
      <c r="OT512" s="9"/>
      <c r="OU512" s="10"/>
      <c r="OV512" s="9"/>
      <c r="OW512" s="10"/>
      <c r="OX512" s="9"/>
      <c r="OY512" s="10"/>
      <c r="OZ512" s="9"/>
      <c r="PA512" s="10"/>
      <c r="PB512" s="9"/>
      <c r="PC512" s="10"/>
      <c r="PD512" s="9"/>
      <c r="PE512" s="10"/>
      <c r="PF512" s="9"/>
      <c r="PG512" s="10"/>
      <c r="PH512" s="9"/>
      <c r="PI512" s="10"/>
      <c r="PJ512" s="9"/>
      <c r="PK512" s="10"/>
      <c r="PL512" s="9"/>
      <c r="PM512" s="10"/>
      <c r="PN512" s="9"/>
      <c r="PO512" s="10"/>
      <c r="PP512" s="9"/>
      <c r="PQ512" s="10"/>
      <c r="PR512" s="9"/>
      <c r="PS512" s="10"/>
      <c r="PT512" s="9"/>
      <c r="PU512" s="10"/>
      <c r="PV512" s="9"/>
      <c r="PW512" s="10"/>
      <c r="PX512" s="9"/>
      <c r="PY512" s="10"/>
      <c r="PZ512" s="9"/>
      <c r="QA512" s="10"/>
      <c r="QB512" s="9"/>
      <c r="QC512" s="10"/>
      <c r="QD512" s="9"/>
      <c r="QE512" s="10"/>
      <c r="QF512" s="9"/>
      <c r="QG512" s="10"/>
      <c r="QH512" s="9"/>
      <c r="QI512" s="10"/>
      <c r="QJ512" s="9"/>
      <c r="QK512" s="10"/>
      <c r="QL512" s="9"/>
      <c r="QM512" s="10"/>
      <c r="QN512" s="9"/>
      <c r="QO512" s="10"/>
      <c r="QP512" s="9"/>
      <c r="QQ512" s="10"/>
      <c r="QR512" s="9"/>
      <c r="QS512" s="10"/>
      <c r="QT512" s="9"/>
      <c r="QU512" s="10"/>
      <c r="QV512" s="9"/>
      <c r="QW512" s="10"/>
      <c r="QX512" s="9"/>
      <c r="QY512" s="10"/>
      <c r="QZ512" s="9"/>
      <c r="RA512" s="10"/>
      <c r="RB512" s="9"/>
      <c r="RC512" s="10"/>
      <c r="RD512" s="9"/>
      <c r="RE512" s="10"/>
      <c r="RF512" s="9"/>
      <c r="RG512" s="10"/>
      <c r="RH512" s="9"/>
      <c r="RI512" s="10"/>
      <c r="RJ512" s="9"/>
      <c r="RK512" s="10"/>
      <c r="RL512" s="9"/>
      <c r="RM512" s="10"/>
      <c r="RN512" s="9"/>
      <c r="RO512" s="10"/>
      <c r="RP512" s="9"/>
      <c r="RQ512" s="10"/>
      <c r="RR512" s="9"/>
      <c r="RS512" s="10"/>
      <c r="RT512" s="9"/>
      <c r="RU512" s="10"/>
      <c r="RV512" s="9"/>
      <c r="RW512" s="10"/>
      <c r="RX512" s="9"/>
      <c r="RY512" s="10"/>
      <c r="RZ512" s="9"/>
      <c r="SA512" s="10"/>
      <c r="SB512" s="9"/>
      <c r="SC512" s="10"/>
      <c r="SD512" s="9"/>
      <c r="SE512" s="11"/>
    </row>
    <row r="513" spans="2:499" x14ac:dyDescent="0.3">
      <c r="B513" s="2" t="str">
        <f>Tabla1[[#Headers],[Soci Comedores Pensionados Jubl]]</f>
        <v>Soci Comedores Pensionados Jubl</v>
      </c>
      <c r="C513" s="2">
        <f>SUM(Tabla1[Soci Comedores Pensionados Jubl])</f>
        <v>654994</v>
      </c>
      <c r="E513" s="7"/>
      <c r="F513" s="9"/>
      <c r="G513" s="10"/>
      <c r="H513" s="9"/>
      <c r="I513" s="10"/>
      <c r="J513" s="9"/>
      <c r="K513" s="10"/>
      <c r="L513" s="9"/>
      <c r="M513" s="10"/>
      <c r="N513" s="9"/>
      <c r="O513" s="10"/>
      <c r="P513" s="9"/>
      <c r="Q513" s="10"/>
      <c r="R513" s="9"/>
      <c r="S513" s="10"/>
      <c r="T513" s="9"/>
      <c r="U513" s="10"/>
      <c r="V513" s="9"/>
      <c r="W513" s="10"/>
      <c r="X513" s="9"/>
      <c r="Y513" s="10"/>
      <c r="Z513" s="9"/>
      <c r="AA513" s="10"/>
      <c r="AB513" s="9"/>
      <c r="AC513" s="10"/>
      <c r="AD513" s="9"/>
      <c r="AE513" s="10"/>
      <c r="AF513" s="9"/>
      <c r="AG513" s="10"/>
      <c r="AH513" s="9"/>
      <c r="AI513" s="10"/>
      <c r="AJ513" s="9"/>
      <c r="AK513" s="10"/>
      <c r="AL513" s="9"/>
      <c r="AM513" s="10"/>
      <c r="AN513" s="9"/>
      <c r="AO513" s="10"/>
      <c r="AP513" s="9"/>
      <c r="AQ513" s="10"/>
      <c r="AR513" s="9"/>
      <c r="AS513" s="10"/>
      <c r="AT513" s="9"/>
      <c r="AU513" s="10"/>
      <c r="AV513" s="9"/>
      <c r="AW513" s="10"/>
      <c r="AX513" s="9"/>
      <c r="AY513" s="10"/>
      <c r="AZ513" s="9"/>
      <c r="BA513" s="10"/>
      <c r="BB513" s="9"/>
      <c r="BC513" s="10"/>
      <c r="BD513" s="9"/>
      <c r="BE513" s="10"/>
      <c r="BF513" s="9"/>
      <c r="BG513" s="10"/>
      <c r="BH513" s="9"/>
      <c r="BI513" s="10"/>
      <c r="BJ513" s="9"/>
      <c r="BK513" s="10"/>
      <c r="BL513" s="9"/>
      <c r="BM513" s="10"/>
      <c r="BN513" s="9"/>
      <c r="BO513" s="10"/>
      <c r="BP513" s="9"/>
      <c r="BQ513" s="10"/>
      <c r="BR513" s="9"/>
      <c r="BS513" s="10"/>
      <c r="BT513" s="9"/>
      <c r="BU513" s="10"/>
      <c r="BV513" s="9"/>
      <c r="BW513" s="10"/>
      <c r="BX513" s="9"/>
      <c r="BY513" s="10"/>
      <c r="BZ513" s="9"/>
      <c r="CA513" s="10"/>
      <c r="CB513" s="9"/>
      <c r="CC513" s="10"/>
      <c r="CD513" s="9"/>
      <c r="CE513" s="10"/>
      <c r="CF513" s="9"/>
      <c r="CG513" s="10"/>
      <c r="CH513" s="9"/>
      <c r="CI513" s="10"/>
      <c r="CJ513" s="9"/>
      <c r="CK513" s="10"/>
      <c r="CL513" s="9"/>
      <c r="CM513" s="10"/>
      <c r="CN513" s="9"/>
      <c r="CO513" s="10"/>
      <c r="CP513" s="9"/>
      <c r="CQ513" s="10"/>
      <c r="CR513" s="9"/>
      <c r="CS513" s="10"/>
      <c r="CT513" s="9"/>
      <c r="CU513" s="10"/>
      <c r="CV513" s="9"/>
      <c r="CW513" s="10"/>
      <c r="CX513" s="9"/>
      <c r="CY513" s="10"/>
      <c r="CZ513" s="9"/>
      <c r="DA513" s="10"/>
      <c r="DB513" s="9"/>
      <c r="DC513" s="10"/>
      <c r="DD513" s="9"/>
      <c r="DE513" s="10"/>
      <c r="DF513" s="9"/>
      <c r="DG513" s="10"/>
      <c r="DH513" s="9"/>
      <c r="DI513" s="10"/>
      <c r="DJ513" s="9"/>
      <c r="DK513" s="10"/>
      <c r="DL513" s="9"/>
      <c r="DM513" s="10"/>
      <c r="DN513" s="9"/>
      <c r="DO513" s="10"/>
      <c r="DP513" s="9"/>
      <c r="DQ513" s="10"/>
      <c r="DR513" s="9"/>
      <c r="DS513" s="10"/>
      <c r="DT513" s="9"/>
      <c r="DU513" s="10"/>
      <c r="DV513" s="9"/>
      <c r="DW513" s="10"/>
      <c r="DX513" s="9"/>
      <c r="DY513" s="10"/>
      <c r="DZ513" s="9"/>
      <c r="EA513" s="10"/>
      <c r="EB513" s="9"/>
      <c r="EC513" s="10"/>
      <c r="ED513" s="9"/>
      <c r="EE513" s="10"/>
      <c r="EF513" s="9"/>
      <c r="EG513" s="10"/>
      <c r="EH513" s="9"/>
      <c r="EI513" s="10"/>
      <c r="EJ513" s="9"/>
      <c r="EK513" s="10"/>
      <c r="EL513" s="9"/>
      <c r="EM513" s="10"/>
      <c r="EN513" s="9"/>
      <c r="EO513" s="10"/>
      <c r="EP513" s="9"/>
      <c r="EQ513" s="10"/>
      <c r="ER513" s="9"/>
      <c r="ES513" s="10"/>
      <c r="ET513" s="9"/>
      <c r="EU513" s="10"/>
      <c r="EV513" s="9"/>
      <c r="EW513" s="10"/>
      <c r="EX513" s="9"/>
      <c r="EY513" s="10"/>
      <c r="EZ513" s="9"/>
      <c r="FA513" s="10"/>
      <c r="FB513" s="9"/>
      <c r="FC513" s="10"/>
      <c r="FD513" s="9"/>
      <c r="FE513" s="10"/>
      <c r="FF513" s="9"/>
      <c r="FG513" s="10"/>
      <c r="FH513" s="9"/>
      <c r="FI513" s="10"/>
      <c r="FJ513" s="9"/>
      <c r="FK513" s="10"/>
      <c r="FL513" s="9"/>
      <c r="FM513" s="10"/>
      <c r="FN513" s="9"/>
      <c r="FO513" s="10"/>
      <c r="FP513" s="9"/>
      <c r="FQ513" s="10"/>
      <c r="FR513" s="9"/>
      <c r="FS513" s="10"/>
      <c r="FT513" s="9"/>
      <c r="FU513" s="10"/>
      <c r="FV513" s="9"/>
      <c r="FW513" s="10"/>
      <c r="FX513" s="9"/>
      <c r="FY513" s="10"/>
      <c r="FZ513" s="9"/>
      <c r="GA513" s="10"/>
      <c r="GB513" s="9"/>
      <c r="GC513" s="10"/>
      <c r="GD513" s="9"/>
      <c r="GE513" s="10"/>
      <c r="GF513" s="9"/>
      <c r="GG513" s="10"/>
      <c r="GH513" s="9"/>
      <c r="GI513" s="10"/>
      <c r="GJ513" s="9"/>
      <c r="GK513" s="10"/>
      <c r="GL513" s="9"/>
      <c r="GM513" s="10"/>
      <c r="GN513" s="9"/>
      <c r="GO513" s="10"/>
      <c r="GP513" s="9"/>
      <c r="GQ513" s="10"/>
      <c r="GR513" s="9"/>
      <c r="GS513" s="10"/>
      <c r="GT513" s="9"/>
      <c r="GU513" s="10"/>
      <c r="GV513" s="9"/>
      <c r="GW513" s="10"/>
      <c r="GX513" s="9"/>
      <c r="GY513" s="10"/>
      <c r="GZ513" s="9"/>
      <c r="HA513" s="10"/>
      <c r="HB513" s="9"/>
      <c r="HC513" s="10"/>
      <c r="HD513" s="9"/>
      <c r="HE513" s="10"/>
      <c r="HF513" s="9"/>
      <c r="HG513" s="10"/>
      <c r="HH513" s="9"/>
      <c r="HI513" s="10"/>
      <c r="HJ513" s="9"/>
      <c r="HK513" s="10"/>
      <c r="HL513" s="9"/>
      <c r="HM513" s="10"/>
      <c r="HN513" s="9"/>
      <c r="HO513" s="10"/>
      <c r="HP513" s="9"/>
      <c r="HQ513" s="10"/>
      <c r="HR513" s="9"/>
      <c r="HS513" s="10"/>
      <c r="HT513" s="9"/>
      <c r="HU513" s="10"/>
      <c r="HV513" s="9"/>
      <c r="HW513" s="10"/>
      <c r="HX513" s="9"/>
      <c r="HY513" s="10"/>
      <c r="HZ513" s="9"/>
      <c r="IA513" s="10"/>
      <c r="IB513" s="9"/>
      <c r="IC513" s="10"/>
      <c r="ID513" s="9"/>
      <c r="IE513" s="10"/>
      <c r="IF513" s="9"/>
      <c r="IG513" s="10"/>
      <c r="IH513" s="9"/>
      <c r="II513" s="10"/>
      <c r="IJ513" s="9"/>
      <c r="IK513" s="10"/>
      <c r="IL513" s="9"/>
      <c r="IM513" s="10"/>
      <c r="IN513" s="9"/>
      <c r="IO513" s="10"/>
      <c r="IP513" s="9"/>
      <c r="IQ513" s="10"/>
      <c r="IR513" s="9"/>
      <c r="IS513" s="10"/>
      <c r="IT513" s="9"/>
      <c r="IU513" s="10"/>
      <c r="IV513" s="9"/>
      <c r="IW513" s="10"/>
      <c r="IX513" s="9"/>
      <c r="IY513" s="10"/>
      <c r="IZ513" s="9"/>
      <c r="JA513" s="10"/>
      <c r="JB513" s="9"/>
      <c r="JC513" s="10"/>
      <c r="JD513" s="9"/>
      <c r="JE513" s="10"/>
      <c r="JF513" s="9"/>
      <c r="JG513" s="10"/>
      <c r="JH513" s="9"/>
      <c r="JI513" s="10"/>
      <c r="JJ513" s="9"/>
      <c r="JK513" s="10"/>
      <c r="JL513" s="9"/>
      <c r="JM513" s="10"/>
      <c r="JN513" s="9"/>
      <c r="JO513" s="10"/>
      <c r="JP513" s="9"/>
      <c r="JQ513" s="10"/>
      <c r="JR513" s="9"/>
      <c r="JS513" s="10"/>
      <c r="JT513" s="9"/>
      <c r="JU513" s="10"/>
      <c r="JV513" s="9"/>
      <c r="JW513" s="10"/>
      <c r="JX513" s="9"/>
      <c r="JY513" s="10"/>
      <c r="JZ513" s="9"/>
      <c r="KA513" s="10"/>
      <c r="KB513" s="9"/>
      <c r="KC513" s="10"/>
      <c r="KD513" s="9"/>
      <c r="KE513" s="10"/>
      <c r="KF513" s="9"/>
      <c r="KG513" s="10"/>
      <c r="KH513" s="9"/>
      <c r="KI513" s="10"/>
      <c r="KJ513" s="9"/>
      <c r="KK513" s="10"/>
      <c r="KL513" s="9"/>
      <c r="KM513" s="10"/>
      <c r="KN513" s="9"/>
      <c r="KO513" s="10"/>
      <c r="KP513" s="9"/>
      <c r="KQ513" s="10"/>
      <c r="KR513" s="9"/>
      <c r="KS513" s="10"/>
      <c r="KT513" s="9"/>
      <c r="KU513" s="10"/>
      <c r="KV513" s="9"/>
      <c r="KW513" s="10"/>
      <c r="KX513" s="9"/>
      <c r="KY513" s="10"/>
      <c r="KZ513" s="9"/>
      <c r="LA513" s="10"/>
      <c r="LB513" s="9"/>
      <c r="LC513" s="10"/>
      <c r="LD513" s="9"/>
      <c r="LE513" s="10"/>
      <c r="LF513" s="9"/>
      <c r="LG513" s="10"/>
      <c r="LH513" s="9"/>
      <c r="LI513" s="10"/>
      <c r="LJ513" s="9"/>
      <c r="LK513" s="10"/>
      <c r="LL513" s="9"/>
      <c r="LM513" s="10"/>
      <c r="LN513" s="9"/>
      <c r="LO513" s="10"/>
      <c r="LP513" s="9"/>
      <c r="LQ513" s="10"/>
      <c r="LR513" s="9"/>
      <c r="LS513" s="10"/>
      <c r="LT513" s="9"/>
      <c r="LU513" s="10"/>
      <c r="LV513" s="9"/>
      <c r="LW513" s="10"/>
      <c r="LX513" s="9"/>
      <c r="LY513" s="10"/>
      <c r="LZ513" s="9"/>
      <c r="MA513" s="10"/>
      <c r="MB513" s="9"/>
      <c r="MC513" s="10"/>
      <c r="MD513" s="9"/>
      <c r="ME513" s="10"/>
      <c r="MF513" s="9"/>
      <c r="MG513" s="10"/>
      <c r="MH513" s="9"/>
      <c r="MI513" s="10"/>
      <c r="MJ513" s="9"/>
      <c r="MK513" s="10"/>
      <c r="ML513" s="9"/>
      <c r="MM513" s="10"/>
      <c r="MN513" s="9"/>
      <c r="MO513" s="10"/>
      <c r="MP513" s="9"/>
      <c r="MQ513" s="10"/>
      <c r="MR513" s="9"/>
      <c r="MS513" s="10"/>
      <c r="MT513" s="9"/>
      <c r="MU513" s="10"/>
      <c r="MV513" s="9"/>
      <c r="MW513" s="10"/>
      <c r="MX513" s="9"/>
      <c r="MY513" s="10"/>
      <c r="MZ513" s="9"/>
      <c r="NA513" s="10"/>
      <c r="NB513" s="9"/>
      <c r="NC513" s="10"/>
      <c r="ND513" s="9"/>
      <c r="NE513" s="10"/>
      <c r="NF513" s="9"/>
      <c r="NG513" s="10"/>
      <c r="NH513" s="9"/>
      <c r="NI513" s="10"/>
      <c r="NJ513" s="9"/>
      <c r="NK513" s="10"/>
      <c r="NL513" s="9"/>
      <c r="NM513" s="10"/>
      <c r="NN513" s="9"/>
      <c r="NO513" s="10"/>
      <c r="NP513" s="9"/>
      <c r="NQ513" s="10"/>
      <c r="NR513" s="9"/>
      <c r="NS513" s="10"/>
      <c r="NT513" s="9"/>
      <c r="NU513" s="10"/>
      <c r="NV513" s="9"/>
      <c r="NW513" s="10"/>
      <c r="NX513" s="9"/>
      <c r="NY513" s="10"/>
      <c r="NZ513" s="9"/>
      <c r="OA513" s="10"/>
      <c r="OB513" s="9"/>
      <c r="OC513" s="10"/>
      <c r="OD513" s="9"/>
      <c r="OE513" s="10"/>
      <c r="OF513" s="9"/>
      <c r="OG513" s="10"/>
      <c r="OH513" s="9"/>
      <c r="OI513" s="10"/>
      <c r="OJ513" s="9"/>
      <c r="OK513" s="10"/>
      <c r="OL513" s="9"/>
      <c r="OM513" s="10"/>
      <c r="ON513" s="9"/>
      <c r="OO513" s="10"/>
      <c r="OP513" s="9"/>
      <c r="OQ513" s="10"/>
      <c r="OR513" s="9"/>
      <c r="OS513" s="10"/>
      <c r="OT513" s="9"/>
      <c r="OU513" s="10"/>
      <c r="OV513" s="9"/>
      <c r="OW513" s="10"/>
      <c r="OX513" s="9"/>
      <c r="OY513" s="10"/>
      <c r="OZ513" s="9"/>
      <c r="PA513" s="10"/>
      <c r="PB513" s="9"/>
      <c r="PC513" s="10"/>
      <c r="PD513" s="9"/>
      <c r="PE513" s="10"/>
      <c r="PF513" s="9"/>
      <c r="PG513" s="10"/>
      <c r="PH513" s="9"/>
      <c r="PI513" s="10"/>
      <c r="PJ513" s="9"/>
      <c r="PK513" s="10"/>
      <c r="PL513" s="9"/>
      <c r="PM513" s="10"/>
      <c r="PN513" s="9"/>
      <c r="PO513" s="10"/>
      <c r="PP513" s="9"/>
      <c r="PQ513" s="10"/>
      <c r="PR513" s="9"/>
      <c r="PS513" s="10"/>
      <c r="PT513" s="9"/>
      <c r="PU513" s="10"/>
      <c r="PV513" s="9"/>
      <c r="PW513" s="10"/>
      <c r="PX513" s="9"/>
      <c r="PY513" s="10"/>
      <c r="PZ513" s="9"/>
      <c r="QA513" s="10"/>
      <c r="QB513" s="9"/>
      <c r="QC513" s="10"/>
      <c r="QD513" s="9"/>
      <c r="QE513" s="10"/>
      <c r="QF513" s="9"/>
      <c r="QG513" s="10"/>
      <c r="QH513" s="9"/>
      <c r="QI513" s="10"/>
      <c r="QJ513" s="9"/>
      <c r="QK513" s="10"/>
      <c r="QL513" s="9"/>
      <c r="QM513" s="10"/>
      <c r="QN513" s="9"/>
      <c r="QO513" s="10"/>
      <c r="QP513" s="9"/>
      <c r="QQ513" s="10"/>
      <c r="QR513" s="9"/>
      <c r="QS513" s="10"/>
      <c r="QT513" s="9"/>
      <c r="QU513" s="10"/>
      <c r="QV513" s="9"/>
      <c r="QW513" s="10"/>
      <c r="QX513" s="9"/>
      <c r="QY513" s="10"/>
      <c r="QZ513" s="9"/>
      <c r="RA513" s="10"/>
      <c r="RB513" s="9"/>
      <c r="RC513" s="10"/>
      <c r="RD513" s="9"/>
      <c r="RE513" s="10"/>
      <c r="RF513" s="9"/>
      <c r="RG513" s="10"/>
      <c r="RH513" s="9"/>
      <c r="RI513" s="10"/>
      <c r="RJ513" s="9"/>
      <c r="RK513" s="10"/>
      <c r="RL513" s="9"/>
      <c r="RM513" s="10"/>
      <c r="RN513" s="9"/>
      <c r="RO513" s="10"/>
      <c r="RP513" s="9"/>
      <c r="RQ513" s="10"/>
      <c r="RR513" s="9"/>
      <c r="RS513" s="10"/>
      <c r="RT513" s="9"/>
      <c r="RU513" s="10"/>
      <c r="RV513" s="9"/>
      <c r="RW513" s="10"/>
      <c r="RX513" s="9"/>
      <c r="RY513" s="10"/>
      <c r="RZ513" s="9"/>
      <c r="SA513" s="10"/>
      <c r="SB513" s="9"/>
      <c r="SC513" s="10"/>
      <c r="SD513" s="9"/>
      <c r="SE513" s="11"/>
    </row>
    <row r="521" spans="2:499" x14ac:dyDescent="0.3">
      <c r="E521"/>
      <c r="G521"/>
      <c r="H521"/>
      <c r="I521"/>
      <c r="K521"/>
    </row>
    <row r="522" spans="2:499" x14ac:dyDescent="0.3">
      <c r="E522"/>
      <c r="G522"/>
      <c r="H522"/>
      <c r="I522"/>
      <c r="K522"/>
    </row>
    <row r="523" spans="2:499" x14ac:dyDescent="0.3">
      <c r="E523"/>
      <c r="G523"/>
      <c r="H523"/>
      <c r="I523"/>
      <c r="K523"/>
    </row>
    <row r="524" spans="2:499" x14ac:dyDescent="0.3">
      <c r="E524"/>
      <c r="G524"/>
      <c r="H524"/>
      <c r="I524"/>
      <c r="K524"/>
    </row>
    <row r="525" spans="2:499" x14ac:dyDescent="0.3">
      <c r="E525"/>
      <c r="G525"/>
      <c r="H525"/>
      <c r="I525"/>
      <c r="K525"/>
    </row>
    <row r="526" spans="2:499" x14ac:dyDescent="0.3">
      <c r="E526"/>
      <c r="G526"/>
      <c r="H526"/>
      <c r="I526"/>
      <c r="K526"/>
    </row>
    <row r="527" spans="2:499" x14ac:dyDescent="0.3">
      <c r="E527"/>
      <c r="G527"/>
      <c r="H527"/>
      <c r="I527"/>
      <c r="K527"/>
    </row>
    <row r="528" spans="2:499" x14ac:dyDescent="0.3">
      <c r="E528"/>
      <c r="G528"/>
      <c r="H528"/>
      <c r="I528"/>
      <c r="K528"/>
    </row>
    <row r="529" spans="5:11" x14ac:dyDescent="0.3">
      <c r="E529"/>
      <c r="G529"/>
      <c r="H529"/>
      <c r="I529"/>
      <c r="K529"/>
    </row>
    <row r="530" spans="5:11" x14ac:dyDescent="0.3">
      <c r="E530"/>
      <c r="G530"/>
      <c r="H530"/>
      <c r="I530"/>
      <c r="K530"/>
    </row>
    <row r="531" spans="5:11" x14ac:dyDescent="0.3">
      <c r="E531"/>
      <c r="G531"/>
    </row>
    <row r="532" spans="5:11" x14ac:dyDescent="0.3">
      <c r="E532"/>
      <c r="G532"/>
    </row>
    <row r="533" spans="5:11" x14ac:dyDescent="0.3">
      <c r="E533"/>
      <c r="G533"/>
    </row>
    <row r="534" spans="5:11" x14ac:dyDescent="0.3">
      <c r="E534"/>
      <c r="G534"/>
    </row>
    <row r="535" spans="5:11" x14ac:dyDescent="0.3">
      <c r="E535"/>
      <c r="G535"/>
    </row>
    <row r="536" spans="5:11" x14ac:dyDescent="0.3">
      <c r="E536"/>
      <c r="G536"/>
    </row>
    <row r="537" spans="5:11" x14ac:dyDescent="0.3">
      <c r="E537"/>
      <c r="G537"/>
    </row>
    <row r="538" spans="5:11" x14ac:dyDescent="0.3">
      <c r="E538"/>
      <c r="G538"/>
    </row>
  </sheetData>
  <pageMargins left="0.7" right="0.7" top="0.75" bottom="0.75" header="0.3" footer="0.3"/>
  <tableParts count="2">
    <tablePart r:id="rId1"/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573DCE-1102-4670-B2C5-59B84C64109B}">
  <dimension ref="A2:F25"/>
  <sheetViews>
    <sheetView showGridLines="0" topLeftCell="A13" workbookViewId="0">
      <selection activeCell="P27" sqref="P27"/>
    </sheetView>
  </sheetViews>
  <sheetFormatPr baseColWidth="10" defaultRowHeight="14.4" x14ac:dyDescent="0.3"/>
  <cols>
    <col min="1" max="1" width="38.5546875" bestFit="1" customWidth="1"/>
    <col min="2" max="2" width="30.21875" bestFit="1" customWidth="1"/>
    <col min="3" max="3" width="13.88671875" bestFit="1" customWidth="1"/>
    <col min="4" max="4" width="13.109375" bestFit="1" customWidth="1"/>
    <col min="5" max="5" width="19" bestFit="1" customWidth="1"/>
    <col min="6" max="6" width="17" bestFit="1" customWidth="1"/>
    <col min="7" max="7" width="9.88671875" bestFit="1" customWidth="1"/>
    <col min="8" max="8" width="7.5546875" bestFit="1" customWidth="1"/>
    <col min="9" max="9" width="10.109375" bestFit="1" customWidth="1"/>
    <col min="10" max="10" width="8.33203125" bestFit="1" customWidth="1"/>
    <col min="11" max="11" width="7" bestFit="1" customWidth="1"/>
    <col min="12" max="12" width="15.6640625" bestFit="1" customWidth="1"/>
    <col min="13" max="13" width="11.44140625" bestFit="1" customWidth="1"/>
    <col min="14" max="14" width="15.44140625" bestFit="1" customWidth="1"/>
    <col min="15" max="15" width="17" bestFit="1" customWidth="1"/>
    <col min="16" max="16" width="18.33203125" bestFit="1" customWidth="1"/>
    <col min="17" max="17" width="13.44140625" bestFit="1" customWidth="1"/>
    <col min="18" max="18" width="8.21875" bestFit="1" customWidth="1"/>
    <col min="19" max="19" width="10.88671875" bestFit="1" customWidth="1"/>
    <col min="20" max="20" width="8.44140625" bestFit="1" customWidth="1"/>
    <col min="21" max="21" width="7.33203125" bestFit="1" customWidth="1"/>
    <col min="22" max="22" width="11.21875" bestFit="1" customWidth="1"/>
    <col min="23" max="23" width="7" bestFit="1" customWidth="1"/>
    <col min="24" max="24" width="7.109375" bestFit="1" customWidth="1"/>
    <col min="25" max="25" width="10.33203125" bestFit="1" customWidth="1"/>
    <col min="26" max="26" width="7.88671875" bestFit="1" customWidth="1"/>
    <col min="27" max="27" width="7.109375" bestFit="1" customWidth="1"/>
    <col min="28" max="28" width="11.109375" bestFit="1" customWidth="1"/>
    <col min="29" max="29" width="7.109375" bestFit="1" customWidth="1"/>
    <col min="30" max="30" width="15.88671875" bestFit="1" customWidth="1"/>
    <col min="31" max="31" width="7" bestFit="1" customWidth="1"/>
    <col min="32" max="32" width="9.5546875" bestFit="1" customWidth="1"/>
    <col min="33" max="33" width="12.5546875" bestFit="1" customWidth="1"/>
    <col min="34" max="34" width="13.44140625" bestFit="1" customWidth="1"/>
    <col min="35" max="35" width="14.88671875" bestFit="1" customWidth="1"/>
    <col min="36" max="36" width="16.33203125" bestFit="1" customWidth="1"/>
    <col min="37" max="37" width="11.44140625" bestFit="1" customWidth="1"/>
    <col min="38" max="38" width="13.44140625" bestFit="1" customWidth="1"/>
    <col min="39" max="39" width="7.109375" bestFit="1" customWidth="1"/>
    <col min="40" max="40" width="7" bestFit="1" customWidth="1"/>
    <col min="41" max="41" width="19.21875" bestFit="1" customWidth="1"/>
    <col min="42" max="42" width="20.6640625" bestFit="1" customWidth="1"/>
    <col min="43" max="43" width="22.109375" bestFit="1" customWidth="1"/>
    <col min="44" max="44" width="17.21875" bestFit="1" customWidth="1"/>
    <col min="45" max="45" width="7.88671875" bestFit="1" customWidth="1"/>
    <col min="46" max="46" width="10.5546875" bestFit="1" customWidth="1"/>
    <col min="47" max="47" width="7.6640625" bestFit="1" customWidth="1"/>
    <col min="48" max="48" width="8.33203125" bestFit="1" customWidth="1"/>
    <col min="49" max="49" width="7.77734375" bestFit="1" customWidth="1"/>
    <col min="50" max="50" width="9.21875" bestFit="1" customWidth="1"/>
    <col min="51" max="51" width="11.88671875" bestFit="1" customWidth="1"/>
  </cols>
  <sheetData>
    <row r="2" spans="1:3" ht="28.2" x14ac:dyDescent="0.5">
      <c r="A2" s="6" t="s">
        <v>73</v>
      </c>
      <c r="B2" s="6"/>
      <c r="C2" s="6"/>
    </row>
    <row r="6" spans="1:3" x14ac:dyDescent="0.3">
      <c r="A6" s="3" t="s">
        <v>61</v>
      </c>
      <c r="B6" s="3" t="s">
        <v>71</v>
      </c>
    </row>
    <row r="7" spans="1:3" x14ac:dyDescent="0.3">
      <c r="A7" s="3" t="s">
        <v>70</v>
      </c>
      <c r="B7" t="s">
        <v>10</v>
      </c>
    </row>
    <row r="8" spans="1:3" x14ac:dyDescent="0.3">
      <c r="A8" s="4">
        <v>2013</v>
      </c>
      <c r="B8" s="2">
        <v>79355</v>
      </c>
    </row>
    <row r="9" spans="1:3" x14ac:dyDescent="0.3">
      <c r="A9" s="4">
        <v>2014</v>
      </c>
      <c r="B9" s="2">
        <v>70442</v>
      </c>
    </row>
    <row r="10" spans="1:3" x14ac:dyDescent="0.3">
      <c r="A10" s="4">
        <v>2015</v>
      </c>
      <c r="B10" s="2">
        <v>71296</v>
      </c>
    </row>
    <row r="11" spans="1:3" x14ac:dyDescent="0.3">
      <c r="A11" s="4">
        <v>2016</v>
      </c>
      <c r="B11" s="2">
        <v>0</v>
      </c>
    </row>
    <row r="12" spans="1:3" x14ac:dyDescent="0.3">
      <c r="A12" s="4">
        <v>2017</v>
      </c>
      <c r="B12" s="2">
        <v>72504</v>
      </c>
    </row>
    <row r="13" spans="1:3" x14ac:dyDescent="0.3">
      <c r="A13" s="4">
        <v>2018</v>
      </c>
      <c r="B13" s="2">
        <v>72045</v>
      </c>
    </row>
    <row r="14" spans="1:3" x14ac:dyDescent="0.3">
      <c r="A14" s="4">
        <v>2019</v>
      </c>
      <c r="B14" s="2">
        <v>72759</v>
      </c>
    </row>
    <row r="15" spans="1:3" x14ac:dyDescent="0.3">
      <c r="A15" s="4">
        <v>2020</v>
      </c>
      <c r="B15" s="2">
        <v>15133</v>
      </c>
    </row>
    <row r="16" spans="1:3" x14ac:dyDescent="0.3">
      <c r="A16" s="4">
        <v>2021</v>
      </c>
      <c r="B16" s="2">
        <v>884</v>
      </c>
    </row>
    <row r="17" spans="1:6" x14ac:dyDescent="0.3">
      <c r="A17" s="4">
        <v>2022</v>
      </c>
      <c r="B17" s="2">
        <v>626</v>
      </c>
    </row>
    <row r="18" spans="1:6" x14ac:dyDescent="0.3">
      <c r="A18" s="4">
        <v>2023</v>
      </c>
      <c r="B18" s="2">
        <v>638</v>
      </c>
    </row>
    <row r="19" spans="1:6" x14ac:dyDescent="0.3">
      <c r="A19" s="4">
        <v>2024</v>
      </c>
      <c r="B19" s="2">
        <v>756</v>
      </c>
    </row>
    <row r="20" spans="1:6" x14ac:dyDescent="0.3">
      <c r="A20" s="4">
        <v>2025</v>
      </c>
      <c r="B20" s="2">
        <v>252</v>
      </c>
    </row>
    <row r="21" spans="1:6" x14ac:dyDescent="0.3">
      <c r="A21" s="4" t="s">
        <v>60</v>
      </c>
      <c r="B21" s="2">
        <v>456690</v>
      </c>
    </row>
    <row r="25" spans="1:6" ht="28.2" x14ac:dyDescent="0.5">
      <c r="B25" s="6" t="s">
        <v>74</v>
      </c>
      <c r="C25" s="6"/>
      <c r="D25" s="6"/>
      <c r="E25" s="6"/>
      <c r="F25" s="6"/>
    </row>
  </sheetData>
  <mergeCells count="2">
    <mergeCell ref="A2:C2"/>
    <mergeCell ref="B25:F25"/>
  </mergeCells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71FC3-37E4-4473-BE72-831CFD6103DC}">
  <dimension ref="A2:I60"/>
  <sheetViews>
    <sheetView showGridLines="0" topLeftCell="A34" workbookViewId="0">
      <selection activeCell="P27" sqref="P27"/>
    </sheetView>
  </sheetViews>
  <sheetFormatPr baseColWidth="10" defaultRowHeight="14.4" x14ac:dyDescent="0.3"/>
  <cols>
    <col min="1" max="1" width="30.21875" bestFit="1" customWidth="1"/>
    <col min="2" max="2" width="37.77734375" bestFit="1" customWidth="1"/>
    <col min="3" max="3" width="38.5546875" bestFit="1" customWidth="1"/>
    <col min="4" max="4" width="36" bestFit="1" customWidth="1"/>
    <col min="5" max="5" width="38.21875" bestFit="1" customWidth="1"/>
    <col min="6" max="6" width="35.44140625" bestFit="1" customWidth="1"/>
    <col min="7" max="7" width="37.6640625" bestFit="1" customWidth="1"/>
    <col min="8" max="8" width="37.21875" bestFit="1" customWidth="1"/>
    <col min="9" max="9" width="37.6640625" bestFit="1" customWidth="1"/>
  </cols>
  <sheetData>
    <row r="2" spans="1:9" ht="28.2" x14ac:dyDescent="0.5">
      <c r="A2" s="6" t="s">
        <v>75</v>
      </c>
      <c r="B2" s="6"/>
      <c r="C2" s="6"/>
    </row>
    <row r="6" spans="1:9" x14ac:dyDescent="0.3">
      <c r="A6" s="3" t="s">
        <v>71</v>
      </c>
      <c r="B6" t="s">
        <v>62</v>
      </c>
      <c r="C6" t="s">
        <v>61</v>
      </c>
      <c r="D6" t="s">
        <v>63</v>
      </c>
      <c r="E6" t="s">
        <v>64</v>
      </c>
      <c r="F6" t="s">
        <v>65</v>
      </c>
      <c r="G6" t="s">
        <v>66</v>
      </c>
      <c r="H6" t="s">
        <v>67</v>
      </c>
      <c r="I6" t="s">
        <v>68</v>
      </c>
    </row>
    <row r="7" spans="1:9" x14ac:dyDescent="0.3">
      <c r="A7" s="5" t="s">
        <v>10</v>
      </c>
      <c r="B7" s="2">
        <v>840418</v>
      </c>
      <c r="C7" s="2">
        <v>456690</v>
      </c>
      <c r="D7" s="2">
        <v>239</v>
      </c>
      <c r="E7" s="2">
        <v>1038</v>
      </c>
      <c r="F7" s="2">
        <v>22652</v>
      </c>
      <c r="G7" s="2">
        <v>19799</v>
      </c>
      <c r="H7" s="2">
        <v>55410</v>
      </c>
      <c r="I7" s="2">
        <v>0</v>
      </c>
    </row>
    <row r="60" spans="2:4" ht="28.2" x14ac:dyDescent="0.5">
      <c r="B60" s="6" t="s">
        <v>76</v>
      </c>
      <c r="C60" s="6"/>
      <c r="D60" s="6"/>
    </row>
  </sheetData>
  <mergeCells count="2">
    <mergeCell ref="A2:C2"/>
    <mergeCell ref="B60:D60"/>
  </mergeCells>
  <pageMargins left="0.7" right="0.7" top="0.75" bottom="0.75" header="0.3" footer="0.3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E057B-2FFD-452E-9801-D0EF6EE0D059}">
  <dimension ref="A2:J83"/>
  <sheetViews>
    <sheetView showGridLines="0" topLeftCell="A7" workbookViewId="0">
      <selection activeCell="B28" sqref="B28"/>
    </sheetView>
  </sheetViews>
  <sheetFormatPr baseColWidth="10" defaultRowHeight="14.4" x14ac:dyDescent="0.3"/>
  <cols>
    <col min="1" max="1" width="30.21875" bestFit="1" customWidth="1"/>
    <col min="2" max="2" width="24.77734375" bestFit="1" customWidth="1"/>
    <col min="3" max="3" width="13.88671875" customWidth="1"/>
    <col min="4" max="4" width="17" customWidth="1"/>
    <col min="5" max="5" width="10.109375" bestFit="1" customWidth="1"/>
    <col min="6" max="6" width="8.33203125" bestFit="1" customWidth="1"/>
    <col min="7" max="7" width="7" customWidth="1"/>
    <col min="8" max="8" width="15.6640625" bestFit="1" customWidth="1"/>
    <col min="9" max="9" width="11.44140625" bestFit="1" customWidth="1"/>
    <col min="10" max="10" width="15.44140625" bestFit="1" customWidth="1"/>
    <col min="11" max="11" width="17" bestFit="1" customWidth="1"/>
    <col min="12" max="12" width="18.33203125" bestFit="1" customWidth="1"/>
    <col min="13" max="13" width="13.44140625" bestFit="1" customWidth="1"/>
    <col min="14" max="14" width="8.21875" bestFit="1" customWidth="1"/>
    <col min="15" max="15" width="10.88671875" bestFit="1" customWidth="1"/>
    <col min="16" max="16" width="8.44140625" bestFit="1" customWidth="1"/>
    <col min="17" max="17" width="8" bestFit="1" customWidth="1"/>
    <col min="18" max="18" width="11.21875" bestFit="1" customWidth="1"/>
    <col min="19" max="19" width="7" bestFit="1" customWidth="1"/>
    <col min="20" max="20" width="8" bestFit="1" customWidth="1"/>
    <col min="21" max="21" width="10.33203125" bestFit="1" customWidth="1"/>
    <col min="22" max="22" width="7.88671875" bestFit="1" customWidth="1"/>
    <col min="23" max="23" width="7.109375" bestFit="1" customWidth="1"/>
    <col min="24" max="24" width="11.109375" bestFit="1" customWidth="1"/>
    <col min="25" max="25" width="8" bestFit="1" customWidth="1"/>
    <col min="26" max="26" width="15.88671875" bestFit="1" customWidth="1"/>
    <col min="27" max="27" width="7" bestFit="1" customWidth="1"/>
    <col min="28" max="28" width="9.5546875" bestFit="1" customWidth="1"/>
    <col min="29" max="29" width="12.5546875" bestFit="1" customWidth="1"/>
    <col min="30" max="30" width="13.44140625" bestFit="1" customWidth="1"/>
    <col min="31" max="31" width="14.88671875" bestFit="1" customWidth="1"/>
    <col min="32" max="32" width="16.33203125" bestFit="1" customWidth="1"/>
    <col min="33" max="33" width="11.44140625" bestFit="1" customWidth="1"/>
    <col min="34" max="34" width="13.44140625" bestFit="1" customWidth="1"/>
    <col min="35" max="35" width="7.109375" bestFit="1" customWidth="1"/>
    <col min="36" max="36" width="7" bestFit="1" customWidth="1"/>
    <col min="37" max="37" width="19.21875" bestFit="1" customWidth="1"/>
    <col min="38" max="38" width="20.6640625" bestFit="1" customWidth="1"/>
    <col min="39" max="39" width="22.109375" bestFit="1" customWidth="1"/>
    <col min="40" max="40" width="17.21875" bestFit="1" customWidth="1"/>
    <col min="41" max="41" width="8" bestFit="1" customWidth="1"/>
    <col min="42" max="42" width="10.5546875" bestFit="1" customWidth="1"/>
    <col min="43" max="43" width="8" bestFit="1" customWidth="1"/>
    <col min="44" max="44" width="8.33203125" bestFit="1" customWidth="1"/>
    <col min="45" max="45" width="8" bestFit="1" customWidth="1"/>
    <col min="46" max="46" width="9.21875" bestFit="1" customWidth="1"/>
    <col min="47" max="47" width="11.88671875" bestFit="1" customWidth="1"/>
    <col min="48" max="175" width="5" bestFit="1" customWidth="1"/>
    <col min="176" max="296" width="6" bestFit="1" customWidth="1"/>
    <col min="297" max="480" width="7" bestFit="1" customWidth="1"/>
    <col min="481" max="486" width="8" bestFit="1" customWidth="1"/>
    <col min="487" max="487" width="11.88671875" bestFit="1" customWidth="1"/>
    <col min="488" max="488" width="6" bestFit="1" customWidth="1"/>
    <col min="489" max="489" width="10.6640625" bestFit="1" customWidth="1"/>
    <col min="490" max="490" width="7" bestFit="1" customWidth="1"/>
    <col min="491" max="491" width="10.6640625" bestFit="1" customWidth="1"/>
    <col min="492" max="492" width="6" bestFit="1" customWidth="1"/>
    <col min="493" max="493" width="10.6640625" bestFit="1" customWidth="1"/>
    <col min="494" max="494" width="6" bestFit="1" customWidth="1"/>
    <col min="495" max="495" width="10.6640625" bestFit="1" customWidth="1"/>
    <col min="496" max="496" width="6" bestFit="1" customWidth="1"/>
    <col min="497" max="497" width="10.6640625" bestFit="1" customWidth="1"/>
    <col min="498" max="498" width="6" bestFit="1" customWidth="1"/>
    <col min="499" max="499" width="10.6640625" bestFit="1" customWidth="1"/>
    <col min="500" max="500" width="7" bestFit="1" customWidth="1"/>
    <col min="501" max="501" width="10.6640625" bestFit="1" customWidth="1"/>
    <col min="502" max="502" width="6" bestFit="1" customWidth="1"/>
    <col min="503" max="503" width="10.6640625" bestFit="1" customWidth="1"/>
    <col min="504" max="504" width="6" bestFit="1" customWidth="1"/>
    <col min="505" max="505" width="10.6640625" bestFit="1" customWidth="1"/>
    <col min="506" max="506" width="6" bestFit="1" customWidth="1"/>
    <col min="507" max="507" width="10.6640625" bestFit="1" customWidth="1"/>
    <col min="508" max="508" width="7" bestFit="1" customWidth="1"/>
    <col min="509" max="509" width="10.6640625" bestFit="1" customWidth="1"/>
    <col min="510" max="510" width="6" bestFit="1" customWidth="1"/>
    <col min="511" max="511" width="10.6640625" bestFit="1" customWidth="1"/>
    <col min="512" max="512" width="6" bestFit="1" customWidth="1"/>
    <col min="513" max="513" width="10.6640625" bestFit="1" customWidth="1"/>
    <col min="514" max="514" width="7" bestFit="1" customWidth="1"/>
    <col min="515" max="515" width="10.6640625" bestFit="1" customWidth="1"/>
    <col min="516" max="516" width="6" bestFit="1" customWidth="1"/>
    <col min="517" max="517" width="10.6640625" bestFit="1" customWidth="1"/>
    <col min="518" max="518" width="6" bestFit="1" customWidth="1"/>
    <col min="519" max="519" width="10.6640625" bestFit="1" customWidth="1"/>
    <col min="520" max="520" width="6" bestFit="1" customWidth="1"/>
    <col min="521" max="521" width="10.6640625" bestFit="1" customWidth="1"/>
    <col min="522" max="522" width="6" bestFit="1" customWidth="1"/>
    <col min="523" max="523" width="10.6640625" bestFit="1" customWidth="1"/>
    <col min="524" max="524" width="6" bestFit="1" customWidth="1"/>
    <col min="525" max="525" width="10.6640625" bestFit="1" customWidth="1"/>
    <col min="526" max="526" width="6" bestFit="1" customWidth="1"/>
    <col min="527" max="527" width="10.6640625" bestFit="1" customWidth="1"/>
    <col min="528" max="528" width="6" bestFit="1" customWidth="1"/>
    <col min="529" max="529" width="10.6640625" bestFit="1" customWidth="1"/>
    <col min="530" max="530" width="7" bestFit="1" customWidth="1"/>
    <col min="531" max="531" width="10.6640625" bestFit="1" customWidth="1"/>
    <col min="532" max="532" width="6" bestFit="1" customWidth="1"/>
    <col min="533" max="533" width="10.6640625" bestFit="1" customWidth="1"/>
    <col min="534" max="534" width="6" bestFit="1" customWidth="1"/>
    <col min="535" max="535" width="10.6640625" bestFit="1" customWidth="1"/>
    <col min="536" max="536" width="6" bestFit="1" customWidth="1"/>
    <col min="537" max="537" width="10.6640625" bestFit="1" customWidth="1"/>
    <col min="538" max="538" width="7" bestFit="1" customWidth="1"/>
    <col min="539" max="539" width="10.6640625" bestFit="1" customWidth="1"/>
    <col min="540" max="540" width="6" bestFit="1" customWidth="1"/>
    <col min="541" max="541" width="10.6640625" bestFit="1" customWidth="1"/>
    <col min="542" max="542" width="6" bestFit="1" customWidth="1"/>
    <col min="543" max="543" width="10.6640625" bestFit="1" customWidth="1"/>
    <col min="544" max="544" width="6" bestFit="1" customWidth="1"/>
    <col min="545" max="545" width="10.6640625" bestFit="1" customWidth="1"/>
    <col min="546" max="546" width="6" bestFit="1" customWidth="1"/>
    <col min="547" max="547" width="10.6640625" bestFit="1" customWidth="1"/>
    <col min="548" max="548" width="6" bestFit="1" customWidth="1"/>
    <col min="549" max="549" width="10.6640625" bestFit="1" customWidth="1"/>
    <col min="550" max="550" width="6" bestFit="1" customWidth="1"/>
    <col min="551" max="551" width="10.6640625" bestFit="1" customWidth="1"/>
    <col min="552" max="552" width="6" bestFit="1" customWidth="1"/>
    <col min="553" max="553" width="10.6640625" bestFit="1" customWidth="1"/>
    <col min="554" max="554" width="6" bestFit="1" customWidth="1"/>
    <col min="555" max="555" width="10.6640625" bestFit="1" customWidth="1"/>
    <col min="556" max="556" width="6" bestFit="1" customWidth="1"/>
    <col min="557" max="557" width="10.6640625" bestFit="1" customWidth="1"/>
    <col min="558" max="558" width="6" bestFit="1" customWidth="1"/>
    <col min="559" max="559" width="10.6640625" bestFit="1" customWidth="1"/>
    <col min="560" max="560" width="6" bestFit="1" customWidth="1"/>
    <col min="561" max="561" width="10.6640625" bestFit="1" customWidth="1"/>
    <col min="562" max="562" width="7" bestFit="1" customWidth="1"/>
    <col min="563" max="563" width="10.6640625" bestFit="1" customWidth="1"/>
    <col min="564" max="564" width="7" bestFit="1" customWidth="1"/>
    <col min="565" max="565" width="10.6640625" bestFit="1" customWidth="1"/>
    <col min="566" max="566" width="6" bestFit="1" customWidth="1"/>
    <col min="567" max="567" width="10.6640625" bestFit="1" customWidth="1"/>
    <col min="568" max="568" width="7" bestFit="1" customWidth="1"/>
    <col min="569" max="569" width="10.6640625" bestFit="1" customWidth="1"/>
    <col min="570" max="570" width="6" bestFit="1" customWidth="1"/>
    <col min="571" max="571" width="10.6640625" bestFit="1" customWidth="1"/>
    <col min="572" max="572" width="7" bestFit="1" customWidth="1"/>
    <col min="573" max="573" width="10.6640625" bestFit="1" customWidth="1"/>
    <col min="574" max="574" width="7" bestFit="1" customWidth="1"/>
    <col min="575" max="575" width="10.6640625" bestFit="1" customWidth="1"/>
    <col min="576" max="576" width="7" bestFit="1" customWidth="1"/>
    <col min="577" max="577" width="10.6640625" bestFit="1" customWidth="1"/>
    <col min="578" max="578" width="7" bestFit="1" customWidth="1"/>
    <col min="579" max="579" width="10.6640625" bestFit="1" customWidth="1"/>
    <col min="580" max="580" width="6" bestFit="1" customWidth="1"/>
    <col min="581" max="581" width="10.6640625" bestFit="1" customWidth="1"/>
    <col min="582" max="582" width="7" bestFit="1" customWidth="1"/>
    <col min="583" max="583" width="10.6640625" bestFit="1" customWidth="1"/>
    <col min="584" max="584" width="7" bestFit="1" customWidth="1"/>
    <col min="585" max="585" width="10.6640625" bestFit="1" customWidth="1"/>
    <col min="586" max="586" width="6" bestFit="1" customWidth="1"/>
    <col min="587" max="587" width="10.6640625" bestFit="1" customWidth="1"/>
    <col min="588" max="588" width="6" bestFit="1" customWidth="1"/>
    <col min="589" max="589" width="10.6640625" bestFit="1" customWidth="1"/>
    <col min="590" max="590" width="7" bestFit="1" customWidth="1"/>
    <col min="591" max="591" width="10.6640625" bestFit="1" customWidth="1"/>
    <col min="592" max="592" width="7" bestFit="1" customWidth="1"/>
    <col min="593" max="593" width="10.6640625" bestFit="1" customWidth="1"/>
    <col min="594" max="594" width="7" bestFit="1" customWidth="1"/>
    <col min="595" max="595" width="10.6640625" bestFit="1" customWidth="1"/>
    <col min="596" max="596" width="7" bestFit="1" customWidth="1"/>
    <col min="597" max="597" width="10.6640625" bestFit="1" customWidth="1"/>
    <col min="598" max="598" width="7" bestFit="1" customWidth="1"/>
    <col min="599" max="599" width="10.6640625" bestFit="1" customWidth="1"/>
    <col min="600" max="600" width="6" bestFit="1" customWidth="1"/>
    <col min="601" max="601" width="10.6640625" bestFit="1" customWidth="1"/>
    <col min="602" max="602" width="6" bestFit="1" customWidth="1"/>
    <col min="603" max="603" width="10.6640625" bestFit="1" customWidth="1"/>
    <col min="604" max="604" width="6" bestFit="1" customWidth="1"/>
    <col min="605" max="605" width="10.6640625" bestFit="1" customWidth="1"/>
    <col min="606" max="606" width="7" bestFit="1" customWidth="1"/>
    <col min="607" max="607" width="10.6640625" bestFit="1" customWidth="1"/>
    <col min="608" max="608" width="7" bestFit="1" customWidth="1"/>
    <col min="609" max="609" width="10.6640625" bestFit="1" customWidth="1"/>
    <col min="610" max="610" width="6" bestFit="1" customWidth="1"/>
    <col min="611" max="611" width="10.6640625" bestFit="1" customWidth="1"/>
    <col min="612" max="612" width="6" bestFit="1" customWidth="1"/>
    <col min="613" max="613" width="10.6640625" bestFit="1" customWidth="1"/>
    <col min="614" max="614" width="6" bestFit="1" customWidth="1"/>
    <col min="615" max="615" width="10.6640625" bestFit="1" customWidth="1"/>
    <col min="616" max="616" width="6" bestFit="1" customWidth="1"/>
    <col min="617" max="617" width="10.6640625" bestFit="1" customWidth="1"/>
    <col min="618" max="618" width="6" bestFit="1" customWidth="1"/>
    <col min="619" max="619" width="10.6640625" bestFit="1" customWidth="1"/>
    <col min="620" max="620" width="7" bestFit="1" customWidth="1"/>
    <col min="621" max="621" width="10.6640625" bestFit="1" customWidth="1"/>
    <col min="622" max="622" width="6" bestFit="1" customWidth="1"/>
    <col min="623" max="623" width="10.6640625" bestFit="1" customWidth="1"/>
    <col min="624" max="624" width="6" bestFit="1" customWidth="1"/>
    <col min="625" max="625" width="10.6640625" bestFit="1" customWidth="1"/>
    <col min="626" max="626" width="6" bestFit="1" customWidth="1"/>
    <col min="627" max="627" width="10.6640625" bestFit="1" customWidth="1"/>
    <col min="628" max="628" width="6" bestFit="1" customWidth="1"/>
    <col min="629" max="629" width="10.6640625" bestFit="1" customWidth="1"/>
    <col min="630" max="630" width="6" bestFit="1" customWidth="1"/>
    <col min="631" max="631" width="10.6640625" bestFit="1" customWidth="1"/>
    <col min="632" max="632" width="6" bestFit="1" customWidth="1"/>
    <col min="633" max="633" width="10.6640625" bestFit="1" customWidth="1"/>
    <col min="634" max="634" width="6" bestFit="1" customWidth="1"/>
    <col min="635" max="635" width="10.6640625" bestFit="1" customWidth="1"/>
    <col min="636" max="636" width="6" bestFit="1" customWidth="1"/>
    <col min="637" max="637" width="10.6640625" bestFit="1" customWidth="1"/>
    <col min="638" max="638" width="6" bestFit="1" customWidth="1"/>
    <col min="639" max="639" width="10.6640625" bestFit="1" customWidth="1"/>
    <col min="640" max="640" width="6" bestFit="1" customWidth="1"/>
    <col min="641" max="641" width="10.6640625" bestFit="1" customWidth="1"/>
    <col min="642" max="642" width="6" bestFit="1" customWidth="1"/>
    <col min="643" max="643" width="10.6640625" bestFit="1" customWidth="1"/>
    <col min="644" max="644" width="6" bestFit="1" customWidth="1"/>
    <col min="645" max="645" width="10.6640625" bestFit="1" customWidth="1"/>
    <col min="646" max="646" width="6" bestFit="1" customWidth="1"/>
    <col min="647" max="647" width="10.6640625" bestFit="1" customWidth="1"/>
    <col min="648" max="648" width="6" bestFit="1" customWidth="1"/>
    <col min="649" max="649" width="10.6640625" bestFit="1" customWidth="1"/>
    <col min="650" max="650" width="6" bestFit="1" customWidth="1"/>
    <col min="651" max="651" width="10.6640625" bestFit="1" customWidth="1"/>
    <col min="652" max="652" width="6" bestFit="1" customWidth="1"/>
    <col min="653" max="653" width="10.6640625" bestFit="1" customWidth="1"/>
    <col min="654" max="654" width="6" bestFit="1" customWidth="1"/>
    <col min="655" max="655" width="10.6640625" bestFit="1" customWidth="1"/>
    <col min="656" max="656" width="6" bestFit="1" customWidth="1"/>
    <col min="657" max="657" width="10.6640625" bestFit="1" customWidth="1"/>
    <col min="658" max="658" width="6" bestFit="1" customWidth="1"/>
    <col min="659" max="659" width="10.6640625" bestFit="1" customWidth="1"/>
    <col min="660" max="660" width="6" bestFit="1" customWidth="1"/>
    <col min="661" max="661" width="10.6640625" bestFit="1" customWidth="1"/>
    <col min="662" max="662" width="6" bestFit="1" customWidth="1"/>
    <col min="663" max="663" width="10.6640625" bestFit="1" customWidth="1"/>
    <col min="664" max="664" width="6" bestFit="1" customWidth="1"/>
    <col min="665" max="665" width="10.6640625" bestFit="1" customWidth="1"/>
    <col min="666" max="666" width="6" bestFit="1" customWidth="1"/>
    <col min="667" max="667" width="10.6640625" bestFit="1" customWidth="1"/>
    <col min="668" max="668" width="6" bestFit="1" customWidth="1"/>
    <col min="669" max="669" width="10.6640625" bestFit="1" customWidth="1"/>
    <col min="670" max="670" width="7" bestFit="1" customWidth="1"/>
    <col min="671" max="671" width="10.6640625" bestFit="1" customWidth="1"/>
    <col min="672" max="672" width="6" bestFit="1" customWidth="1"/>
    <col min="673" max="673" width="10.6640625" bestFit="1" customWidth="1"/>
    <col min="674" max="674" width="6" bestFit="1" customWidth="1"/>
    <col min="675" max="675" width="10.6640625" bestFit="1" customWidth="1"/>
    <col min="676" max="676" width="6" bestFit="1" customWidth="1"/>
    <col min="677" max="677" width="10.6640625" bestFit="1" customWidth="1"/>
    <col min="678" max="678" width="7" bestFit="1" customWidth="1"/>
    <col min="679" max="679" width="10.6640625" bestFit="1" customWidth="1"/>
    <col min="680" max="680" width="6" bestFit="1" customWidth="1"/>
    <col min="681" max="681" width="10.6640625" bestFit="1" customWidth="1"/>
    <col min="682" max="682" width="6" bestFit="1" customWidth="1"/>
    <col min="683" max="683" width="10.6640625" bestFit="1" customWidth="1"/>
    <col min="684" max="684" width="6" bestFit="1" customWidth="1"/>
    <col min="685" max="685" width="10.6640625" bestFit="1" customWidth="1"/>
    <col min="686" max="686" width="6" bestFit="1" customWidth="1"/>
    <col min="687" max="687" width="10.6640625" bestFit="1" customWidth="1"/>
    <col min="688" max="688" width="6" bestFit="1" customWidth="1"/>
    <col min="689" max="689" width="10.6640625" bestFit="1" customWidth="1"/>
    <col min="690" max="690" width="6" bestFit="1" customWidth="1"/>
    <col min="691" max="691" width="10.6640625" bestFit="1" customWidth="1"/>
    <col min="692" max="692" width="6" bestFit="1" customWidth="1"/>
    <col min="693" max="693" width="10.6640625" bestFit="1" customWidth="1"/>
    <col min="694" max="694" width="6" bestFit="1" customWidth="1"/>
    <col min="695" max="695" width="10.6640625" bestFit="1" customWidth="1"/>
    <col min="696" max="696" width="6" bestFit="1" customWidth="1"/>
    <col min="697" max="697" width="10.6640625" bestFit="1" customWidth="1"/>
    <col min="698" max="698" width="7" bestFit="1" customWidth="1"/>
    <col min="699" max="699" width="10.6640625" bestFit="1" customWidth="1"/>
    <col min="700" max="700" width="6" bestFit="1" customWidth="1"/>
    <col min="701" max="701" width="10.6640625" bestFit="1" customWidth="1"/>
    <col min="702" max="702" width="6" bestFit="1" customWidth="1"/>
    <col min="703" max="703" width="10.6640625" bestFit="1" customWidth="1"/>
    <col min="704" max="704" width="6" bestFit="1" customWidth="1"/>
    <col min="705" max="705" width="10.6640625" bestFit="1" customWidth="1"/>
    <col min="706" max="706" width="6" bestFit="1" customWidth="1"/>
    <col min="707" max="707" width="10.6640625" bestFit="1" customWidth="1"/>
    <col min="708" max="708" width="6" bestFit="1" customWidth="1"/>
    <col min="709" max="709" width="10.6640625" bestFit="1" customWidth="1"/>
    <col min="710" max="710" width="6" bestFit="1" customWidth="1"/>
    <col min="711" max="711" width="10.6640625" bestFit="1" customWidth="1"/>
    <col min="712" max="712" width="6" bestFit="1" customWidth="1"/>
    <col min="713" max="713" width="10.6640625" bestFit="1" customWidth="1"/>
    <col min="714" max="714" width="6" bestFit="1" customWidth="1"/>
    <col min="715" max="715" width="10.6640625" bestFit="1" customWidth="1"/>
    <col min="716" max="716" width="6" bestFit="1" customWidth="1"/>
    <col min="717" max="717" width="10.6640625" bestFit="1" customWidth="1"/>
    <col min="718" max="718" width="6" bestFit="1" customWidth="1"/>
    <col min="719" max="719" width="10.6640625" bestFit="1" customWidth="1"/>
    <col min="720" max="720" width="6" bestFit="1" customWidth="1"/>
    <col min="721" max="721" width="10.6640625" bestFit="1" customWidth="1"/>
    <col min="722" max="722" width="6" bestFit="1" customWidth="1"/>
    <col min="723" max="723" width="10.6640625" bestFit="1" customWidth="1"/>
    <col min="724" max="724" width="6" bestFit="1" customWidth="1"/>
    <col min="725" max="725" width="10.6640625" bestFit="1" customWidth="1"/>
    <col min="726" max="726" width="6" bestFit="1" customWidth="1"/>
    <col min="727" max="727" width="10.6640625" bestFit="1" customWidth="1"/>
    <col min="728" max="728" width="6" bestFit="1" customWidth="1"/>
    <col min="729" max="729" width="10.6640625" bestFit="1" customWidth="1"/>
    <col min="730" max="730" width="6" bestFit="1" customWidth="1"/>
    <col min="731" max="731" width="10.6640625" bestFit="1" customWidth="1"/>
    <col min="732" max="732" width="6" bestFit="1" customWidth="1"/>
    <col min="733" max="733" width="10.6640625" bestFit="1" customWidth="1"/>
    <col min="734" max="734" width="6" bestFit="1" customWidth="1"/>
    <col min="735" max="735" width="10.6640625" bestFit="1" customWidth="1"/>
    <col min="736" max="736" width="7" bestFit="1" customWidth="1"/>
    <col min="737" max="737" width="10.6640625" bestFit="1" customWidth="1"/>
    <col min="738" max="738" width="6" bestFit="1" customWidth="1"/>
    <col min="739" max="739" width="10.6640625" bestFit="1" customWidth="1"/>
    <col min="740" max="740" width="6" bestFit="1" customWidth="1"/>
    <col min="741" max="741" width="10.6640625" bestFit="1" customWidth="1"/>
    <col min="742" max="742" width="6" bestFit="1" customWidth="1"/>
    <col min="743" max="743" width="10.6640625" bestFit="1" customWidth="1"/>
    <col min="744" max="744" width="6" bestFit="1" customWidth="1"/>
    <col min="745" max="745" width="10.6640625" bestFit="1" customWidth="1"/>
    <col min="746" max="746" width="6" bestFit="1" customWidth="1"/>
    <col min="747" max="747" width="10.6640625" bestFit="1" customWidth="1"/>
    <col min="748" max="748" width="6" bestFit="1" customWidth="1"/>
    <col min="749" max="749" width="10.6640625" bestFit="1" customWidth="1"/>
    <col min="750" max="750" width="7" bestFit="1" customWidth="1"/>
    <col min="751" max="751" width="10.6640625" bestFit="1" customWidth="1"/>
    <col min="752" max="752" width="7" bestFit="1" customWidth="1"/>
    <col min="753" max="753" width="10.6640625" bestFit="1" customWidth="1"/>
    <col min="754" max="754" width="6" bestFit="1" customWidth="1"/>
    <col min="755" max="755" width="10.6640625" bestFit="1" customWidth="1"/>
    <col min="756" max="756" width="7" bestFit="1" customWidth="1"/>
    <col min="757" max="757" width="10.6640625" bestFit="1" customWidth="1"/>
    <col min="758" max="758" width="6" bestFit="1" customWidth="1"/>
    <col min="759" max="759" width="10.6640625" bestFit="1" customWidth="1"/>
    <col min="760" max="760" width="6" bestFit="1" customWidth="1"/>
    <col min="761" max="761" width="10.6640625" bestFit="1" customWidth="1"/>
    <col min="762" max="762" width="6" bestFit="1" customWidth="1"/>
    <col min="763" max="763" width="10.6640625" bestFit="1" customWidth="1"/>
    <col min="764" max="764" width="7" bestFit="1" customWidth="1"/>
    <col min="765" max="765" width="10.6640625" bestFit="1" customWidth="1"/>
    <col min="766" max="766" width="6" bestFit="1" customWidth="1"/>
    <col min="767" max="767" width="10.6640625" bestFit="1" customWidth="1"/>
    <col min="768" max="768" width="6" bestFit="1" customWidth="1"/>
    <col min="769" max="769" width="10.6640625" bestFit="1" customWidth="1"/>
    <col min="770" max="770" width="7" bestFit="1" customWidth="1"/>
    <col min="771" max="771" width="10.6640625" bestFit="1" customWidth="1"/>
    <col min="772" max="772" width="6" bestFit="1" customWidth="1"/>
    <col min="773" max="773" width="10.6640625" bestFit="1" customWidth="1"/>
    <col min="774" max="774" width="6" bestFit="1" customWidth="1"/>
    <col min="775" max="775" width="10.6640625" bestFit="1" customWidth="1"/>
    <col min="776" max="776" width="6" bestFit="1" customWidth="1"/>
    <col min="777" max="777" width="10.6640625" bestFit="1" customWidth="1"/>
    <col min="778" max="778" width="7" bestFit="1" customWidth="1"/>
    <col min="779" max="779" width="10.6640625" bestFit="1" customWidth="1"/>
    <col min="780" max="780" width="6" bestFit="1" customWidth="1"/>
    <col min="781" max="781" width="10.6640625" bestFit="1" customWidth="1"/>
    <col min="782" max="782" width="6" bestFit="1" customWidth="1"/>
    <col min="783" max="783" width="10.6640625" bestFit="1" customWidth="1"/>
    <col min="784" max="784" width="7" bestFit="1" customWidth="1"/>
    <col min="785" max="785" width="10.6640625" bestFit="1" customWidth="1"/>
    <col min="786" max="786" width="7" bestFit="1" customWidth="1"/>
    <col min="787" max="787" width="10.6640625" bestFit="1" customWidth="1"/>
    <col min="788" max="788" width="6" bestFit="1" customWidth="1"/>
    <col min="789" max="789" width="10.6640625" bestFit="1" customWidth="1"/>
    <col min="790" max="790" width="6" bestFit="1" customWidth="1"/>
    <col min="791" max="791" width="10.6640625" bestFit="1" customWidth="1"/>
    <col min="792" max="792" width="7" bestFit="1" customWidth="1"/>
    <col min="793" max="793" width="10.6640625" bestFit="1" customWidth="1"/>
    <col min="794" max="794" width="7" bestFit="1" customWidth="1"/>
    <col min="795" max="795" width="10.6640625" bestFit="1" customWidth="1"/>
    <col min="796" max="796" width="6" bestFit="1" customWidth="1"/>
    <col min="797" max="797" width="10.6640625" bestFit="1" customWidth="1"/>
    <col min="798" max="798" width="6" bestFit="1" customWidth="1"/>
    <col min="799" max="799" width="10.6640625" bestFit="1" customWidth="1"/>
    <col min="800" max="800" width="7" bestFit="1" customWidth="1"/>
    <col min="801" max="801" width="10.6640625" bestFit="1" customWidth="1"/>
    <col min="802" max="802" width="6" bestFit="1" customWidth="1"/>
    <col min="803" max="803" width="10.6640625" bestFit="1" customWidth="1"/>
    <col min="804" max="804" width="6" bestFit="1" customWidth="1"/>
    <col min="805" max="805" width="10.6640625" bestFit="1" customWidth="1"/>
    <col min="806" max="806" width="6" bestFit="1" customWidth="1"/>
    <col min="807" max="807" width="10.6640625" bestFit="1" customWidth="1"/>
    <col min="808" max="808" width="6" bestFit="1" customWidth="1"/>
    <col min="809" max="809" width="10.6640625" bestFit="1" customWidth="1"/>
    <col min="810" max="810" width="6" bestFit="1" customWidth="1"/>
    <col min="811" max="811" width="10.6640625" bestFit="1" customWidth="1"/>
    <col min="812" max="812" width="7" bestFit="1" customWidth="1"/>
    <col min="813" max="813" width="10.6640625" bestFit="1" customWidth="1"/>
    <col min="814" max="814" width="7" bestFit="1" customWidth="1"/>
    <col min="815" max="815" width="10.6640625" bestFit="1" customWidth="1"/>
    <col min="816" max="816" width="7" bestFit="1" customWidth="1"/>
    <col min="817" max="817" width="10.6640625" bestFit="1" customWidth="1"/>
    <col min="818" max="818" width="7" bestFit="1" customWidth="1"/>
    <col min="819" max="819" width="10.6640625" bestFit="1" customWidth="1"/>
    <col min="820" max="820" width="7" bestFit="1" customWidth="1"/>
    <col min="821" max="821" width="10.6640625" bestFit="1" customWidth="1"/>
    <col min="822" max="822" width="6" bestFit="1" customWidth="1"/>
    <col min="823" max="823" width="10.6640625" bestFit="1" customWidth="1"/>
    <col min="824" max="824" width="7" bestFit="1" customWidth="1"/>
    <col min="825" max="825" width="10.6640625" bestFit="1" customWidth="1"/>
    <col min="826" max="826" width="7" bestFit="1" customWidth="1"/>
    <col min="827" max="827" width="10.6640625" bestFit="1" customWidth="1"/>
    <col min="828" max="828" width="7" bestFit="1" customWidth="1"/>
    <col min="829" max="829" width="10.6640625" bestFit="1" customWidth="1"/>
    <col min="830" max="830" width="7" bestFit="1" customWidth="1"/>
    <col min="831" max="831" width="10.6640625" bestFit="1" customWidth="1"/>
    <col min="832" max="832" width="7" bestFit="1" customWidth="1"/>
    <col min="833" max="833" width="10.6640625" bestFit="1" customWidth="1"/>
    <col min="834" max="834" width="6" bestFit="1" customWidth="1"/>
    <col min="835" max="835" width="10.6640625" bestFit="1" customWidth="1"/>
    <col min="836" max="836" width="7" bestFit="1" customWidth="1"/>
    <col min="837" max="837" width="10.6640625" bestFit="1" customWidth="1"/>
    <col min="838" max="838" width="7" bestFit="1" customWidth="1"/>
    <col min="839" max="839" width="10.6640625" bestFit="1" customWidth="1"/>
    <col min="840" max="840" width="7" bestFit="1" customWidth="1"/>
    <col min="841" max="841" width="10.6640625" bestFit="1" customWidth="1"/>
    <col min="842" max="842" width="6" bestFit="1" customWidth="1"/>
    <col min="843" max="843" width="10.6640625" bestFit="1" customWidth="1"/>
    <col min="844" max="844" width="7" bestFit="1" customWidth="1"/>
    <col min="845" max="845" width="10.6640625" bestFit="1" customWidth="1"/>
    <col min="846" max="846" width="7" bestFit="1" customWidth="1"/>
    <col min="847" max="847" width="11.6640625" bestFit="1" customWidth="1"/>
    <col min="848" max="848" width="7" bestFit="1" customWidth="1"/>
    <col min="849" max="849" width="11.6640625" bestFit="1" customWidth="1"/>
    <col min="850" max="850" width="7" bestFit="1" customWidth="1"/>
    <col min="851" max="851" width="11.6640625" bestFit="1" customWidth="1"/>
    <col min="852" max="852" width="7" bestFit="1" customWidth="1"/>
    <col min="853" max="853" width="11.6640625" bestFit="1" customWidth="1"/>
    <col min="854" max="854" width="7" bestFit="1" customWidth="1"/>
    <col min="855" max="855" width="11.6640625" bestFit="1" customWidth="1"/>
    <col min="856" max="856" width="7" bestFit="1" customWidth="1"/>
    <col min="857" max="857" width="11.6640625" bestFit="1" customWidth="1"/>
    <col min="858" max="858" width="7" bestFit="1" customWidth="1"/>
    <col min="859" max="859" width="11.6640625" bestFit="1" customWidth="1"/>
    <col min="860" max="860" width="7" bestFit="1" customWidth="1"/>
    <col min="861" max="861" width="11.6640625" bestFit="1" customWidth="1"/>
    <col min="862" max="862" width="7" bestFit="1" customWidth="1"/>
    <col min="863" max="863" width="11.6640625" bestFit="1" customWidth="1"/>
    <col min="864" max="864" width="7" bestFit="1" customWidth="1"/>
    <col min="865" max="865" width="11.6640625" bestFit="1" customWidth="1"/>
    <col min="866" max="866" width="7" bestFit="1" customWidth="1"/>
    <col min="867" max="867" width="11.6640625" bestFit="1" customWidth="1"/>
    <col min="868" max="868" width="7" bestFit="1" customWidth="1"/>
    <col min="869" max="869" width="11.6640625" bestFit="1" customWidth="1"/>
    <col min="870" max="870" width="7" bestFit="1" customWidth="1"/>
    <col min="871" max="871" width="11.6640625" bestFit="1" customWidth="1"/>
    <col min="872" max="872" width="7" bestFit="1" customWidth="1"/>
    <col min="873" max="873" width="11.6640625" bestFit="1" customWidth="1"/>
    <col min="874" max="874" width="7" bestFit="1" customWidth="1"/>
    <col min="875" max="875" width="11.6640625" bestFit="1" customWidth="1"/>
    <col min="876" max="876" width="11.88671875" bestFit="1" customWidth="1"/>
  </cols>
  <sheetData>
    <row r="2" spans="1:10" ht="28.2" x14ac:dyDescent="0.5">
      <c r="B2" s="6" t="s">
        <v>78</v>
      </c>
      <c r="C2" s="6"/>
      <c r="D2" s="6"/>
      <c r="E2" s="6"/>
      <c r="F2" s="6"/>
      <c r="G2" s="6"/>
    </row>
    <row r="6" spans="1:10" x14ac:dyDescent="0.3">
      <c r="F6" s="6" t="s">
        <v>77</v>
      </c>
      <c r="G6" s="6"/>
      <c r="H6" s="6"/>
      <c r="I6" s="6"/>
      <c r="J6" s="6"/>
    </row>
    <row r="7" spans="1:10" x14ac:dyDescent="0.3">
      <c r="F7" s="6"/>
      <c r="G7" s="6"/>
      <c r="H7" s="6"/>
      <c r="I7" s="6"/>
      <c r="J7" s="6"/>
    </row>
    <row r="9" spans="1:10" x14ac:dyDescent="0.3">
      <c r="A9" s="3" t="s">
        <v>71</v>
      </c>
      <c r="B9" t="s">
        <v>72</v>
      </c>
    </row>
    <row r="10" spans="1:10" x14ac:dyDescent="0.3">
      <c r="A10" s="5" t="s">
        <v>48</v>
      </c>
      <c r="B10" s="2">
        <v>1151362</v>
      </c>
    </row>
    <row r="11" spans="1:10" x14ac:dyDescent="0.3">
      <c r="A11" s="5" t="s">
        <v>3</v>
      </c>
      <c r="B11" s="2">
        <v>1329318</v>
      </c>
    </row>
    <row r="12" spans="1:10" x14ac:dyDescent="0.3">
      <c r="A12" s="5" t="s">
        <v>10</v>
      </c>
      <c r="B12" s="2">
        <v>1396246</v>
      </c>
    </row>
    <row r="13" spans="1:10" x14ac:dyDescent="0.3">
      <c r="A13" s="5" t="s">
        <v>51</v>
      </c>
      <c r="B13" s="2">
        <v>1544155</v>
      </c>
    </row>
    <row r="14" spans="1:10" x14ac:dyDescent="0.3">
      <c r="A14" s="5" t="s">
        <v>23</v>
      </c>
      <c r="B14" s="2">
        <v>1700361</v>
      </c>
    </row>
    <row r="15" spans="1:10" x14ac:dyDescent="0.3">
      <c r="A15" s="5" t="s">
        <v>46</v>
      </c>
      <c r="B15" s="2">
        <v>1853200</v>
      </c>
    </row>
    <row r="16" spans="1:10" x14ac:dyDescent="0.3">
      <c r="A16" s="5" t="s">
        <v>50</v>
      </c>
      <c r="B16" s="2">
        <v>2141268</v>
      </c>
    </row>
    <row r="17" spans="1:2" x14ac:dyDescent="0.3">
      <c r="A17" s="5" t="s">
        <v>14</v>
      </c>
      <c r="B17" s="2">
        <v>2824608</v>
      </c>
    </row>
    <row r="18" spans="1:2" x14ac:dyDescent="0.3">
      <c r="A18" s="5" t="s">
        <v>45</v>
      </c>
      <c r="B18" s="2">
        <v>2908515</v>
      </c>
    </row>
    <row r="19" spans="1:2" x14ac:dyDescent="0.3">
      <c r="A19" s="5" t="s">
        <v>24</v>
      </c>
      <c r="B19" s="2">
        <v>12806883</v>
      </c>
    </row>
    <row r="20" spans="1:2" x14ac:dyDescent="0.3">
      <c r="A20" s="5" t="s">
        <v>60</v>
      </c>
      <c r="B20" s="2">
        <v>29655916</v>
      </c>
    </row>
    <row r="25" spans="1:2" x14ac:dyDescent="0.3">
      <c r="B25" t="s">
        <v>85</v>
      </c>
    </row>
    <row r="28" spans="1:2" x14ac:dyDescent="0.3">
      <c r="A28" t="str">
        <f>A19</f>
        <v>Oficinas Centrales</v>
      </c>
      <c r="B28">
        <f ca="1">INDIRECT(B25)</f>
        <v>12806883</v>
      </c>
    </row>
    <row r="33" spans="1:5" x14ac:dyDescent="0.3">
      <c r="A33" s="3" t="s">
        <v>79</v>
      </c>
      <c r="B33" t="s">
        <v>80</v>
      </c>
    </row>
    <row r="34" spans="1:5" x14ac:dyDescent="0.3">
      <c r="A34" s="5" t="s">
        <v>29</v>
      </c>
      <c r="B34" s="2">
        <v>55249</v>
      </c>
      <c r="D34" t="str">
        <f>A34</f>
        <v>Regional Oriente</v>
      </c>
      <c r="E34">
        <f>GETPIVOTDATA("Suma de todos los Servicios",$A$33,"Oficina Representación","Regional Oriente")</f>
        <v>55249</v>
      </c>
    </row>
    <row r="35" spans="1:5" x14ac:dyDescent="0.3">
      <c r="A35" s="5" t="s">
        <v>27</v>
      </c>
      <c r="B35" s="2">
        <v>110312</v>
      </c>
    </row>
    <row r="36" spans="1:5" x14ac:dyDescent="0.3">
      <c r="A36" s="5" t="s">
        <v>30</v>
      </c>
      <c r="B36" s="2">
        <v>139866</v>
      </c>
    </row>
    <row r="37" spans="1:5" x14ac:dyDescent="0.3">
      <c r="A37" s="5" t="s">
        <v>28</v>
      </c>
      <c r="B37" s="2">
        <v>172802</v>
      </c>
    </row>
    <row r="38" spans="1:5" x14ac:dyDescent="0.3">
      <c r="A38" s="5" t="s">
        <v>25</v>
      </c>
      <c r="B38" s="2">
        <v>236848</v>
      </c>
    </row>
    <row r="39" spans="1:5" x14ac:dyDescent="0.3">
      <c r="A39" s="5" t="s">
        <v>31</v>
      </c>
      <c r="B39" s="2">
        <v>330258</v>
      </c>
    </row>
    <row r="40" spans="1:5" x14ac:dyDescent="0.3">
      <c r="A40" s="5" t="s">
        <v>20</v>
      </c>
      <c r="B40" s="2">
        <v>367601</v>
      </c>
    </row>
    <row r="41" spans="1:5" x14ac:dyDescent="0.3">
      <c r="A41" s="5" t="s">
        <v>32</v>
      </c>
      <c r="B41" s="2">
        <v>379617</v>
      </c>
    </row>
    <row r="42" spans="1:5" x14ac:dyDescent="0.3">
      <c r="A42" s="5" t="s">
        <v>1</v>
      </c>
      <c r="B42" s="2">
        <v>388326</v>
      </c>
    </row>
    <row r="43" spans="1:5" x14ac:dyDescent="0.3">
      <c r="A43" s="5" t="s">
        <v>33</v>
      </c>
      <c r="B43" s="2">
        <v>454525</v>
      </c>
    </row>
    <row r="44" spans="1:5" x14ac:dyDescent="0.3">
      <c r="A44" s="5" t="s">
        <v>0</v>
      </c>
      <c r="B44" s="2">
        <v>464037</v>
      </c>
    </row>
    <row r="45" spans="1:5" x14ac:dyDescent="0.3">
      <c r="A45" s="5" t="s">
        <v>16</v>
      </c>
      <c r="B45" s="2">
        <v>514526</v>
      </c>
    </row>
    <row r="46" spans="1:5" x14ac:dyDescent="0.3">
      <c r="A46" s="5" t="s">
        <v>9</v>
      </c>
      <c r="B46" s="2">
        <v>541003</v>
      </c>
    </row>
    <row r="47" spans="1:5" x14ac:dyDescent="0.3">
      <c r="A47" s="5" t="s">
        <v>17</v>
      </c>
      <c r="B47" s="2">
        <v>604570</v>
      </c>
    </row>
    <row r="48" spans="1:5" x14ac:dyDescent="0.3">
      <c r="A48" s="5" t="s">
        <v>54</v>
      </c>
      <c r="B48" s="2">
        <v>624538</v>
      </c>
    </row>
    <row r="49" spans="1:2" x14ac:dyDescent="0.3">
      <c r="A49" s="5" t="s">
        <v>58</v>
      </c>
      <c r="B49" s="2">
        <v>630996</v>
      </c>
    </row>
    <row r="50" spans="1:2" x14ac:dyDescent="0.3">
      <c r="A50" s="5" t="s">
        <v>5</v>
      </c>
      <c r="B50" s="2">
        <v>705652</v>
      </c>
    </row>
    <row r="51" spans="1:2" x14ac:dyDescent="0.3">
      <c r="A51" s="5" t="s">
        <v>49</v>
      </c>
      <c r="B51" s="2">
        <v>721599</v>
      </c>
    </row>
    <row r="52" spans="1:2" x14ac:dyDescent="0.3">
      <c r="A52" s="5" t="s">
        <v>18</v>
      </c>
      <c r="B52" s="2">
        <v>749396</v>
      </c>
    </row>
    <row r="53" spans="1:2" x14ac:dyDescent="0.3">
      <c r="A53" s="5" t="s">
        <v>56</v>
      </c>
      <c r="B53" s="2">
        <v>792076</v>
      </c>
    </row>
    <row r="54" spans="1:2" x14ac:dyDescent="0.3">
      <c r="A54" s="5" t="s">
        <v>22</v>
      </c>
      <c r="B54" s="2">
        <v>806518</v>
      </c>
    </row>
    <row r="55" spans="1:2" x14ac:dyDescent="0.3">
      <c r="A55" s="5" t="s">
        <v>8</v>
      </c>
      <c r="B55" s="2">
        <v>833184</v>
      </c>
    </row>
    <row r="56" spans="1:2" x14ac:dyDescent="0.3">
      <c r="A56" s="5" t="s">
        <v>52</v>
      </c>
      <c r="B56" s="2">
        <v>858610</v>
      </c>
    </row>
    <row r="57" spans="1:2" x14ac:dyDescent="0.3">
      <c r="A57" s="5" t="s">
        <v>59</v>
      </c>
      <c r="B57" s="2">
        <v>888123</v>
      </c>
    </row>
    <row r="58" spans="1:2" x14ac:dyDescent="0.3">
      <c r="A58" s="5" t="s">
        <v>4</v>
      </c>
      <c r="B58" s="2">
        <v>904262</v>
      </c>
    </row>
    <row r="59" spans="1:2" x14ac:dyDescent="0.3">
      <c r="A59" s="5" t="s">
        <v>57</v>
      </c>
      <c r="B59" s="2">
        <v>908129</v>
      </c>
    </row>
    <row r="60" spans="1:2" x14ac:dyDescent="0.3">
      <c r="A60" s="5" t="s">
        <v>53</v>
      </c>
      <c r="B60" s="2">
        <v>918381</v>
      </c>
    </row>
    <row r="61" spans="1:2" x14ac:dyDescent="0.3">
      <c r="A61" s="5" t="s">
        <v>15</v>
      </c>
      <c r="B61" s="2">
        <v>937351</v>
      </c>
    </row>
    <row r="62" spans="1:2" x14ac:dyDescent="0.3">
      <c r="A62" s="5" t="s">
        <v>13</v>
      </c>
      <c r="B62" s="2">
        <v>944130</v>
      </c>
    </row>
    <row r="63" spans="1:2" x14ac:dyDescent="0.3">
      <c r="A63" s="5" t="s">
        <v>12</v>
      </c>
      <c r="B63" s="2">
        <v>960342</v>
      </c>
    </row>
    <row r="64" spans="1:2" x14ac:dyDescent="0.3">
      <c r="A64" s="5" t="s">
        <v>47</v>
      </c>
      <c r="B64" s="2">
        <v>991542</v>
      </c>
    </row>
    <row r="65" spans="1:2" x14ac:dyDescent="0.3">
      <c r="A65" s="5" t="s">
        <v>55</v>
      </c>
      <c r="B65" s="2">
        <v>993249</v>
      </c>
    </row>
    <row r="66" spans="1:2" x14ac:dyDescent="0.3">
      <c r="A66" s="5" t="s">
        <v>26</v>
      </c>
      <c r="B66" s="2">
        <v>993584</v>
      </c>
    </row>
    <row r="67" spans="1:2" x14ac:dyDescent="0.3">
      <c r="A67" s="5" t="s">
        <v>11</v>
      </c>
      <c r="B67" s="2">
        <v>996808</v>
      </c>
    </row>
    <row r="68" spans="1:2" x14ac:dyDescent="0.3">
      <c r="A68" s="5" t="s">
        <v>21</v>
      </c>
      <c r="B68" s="2">
        <v>1004872</v>
      </c>
    </row>
    <row r="69" spans="1:2" x14ac:dyDescent="0.3">
      <c r="A69" s="5" t="s">
        <v>19</v>
      </c>
      <c r="B69" s="2">
        <v>1009606</v>
      </c>
    </row>
    <row r="70" spans="1:2" x14ac:dyDescent="0.3">
      <c r="A70" s="5" t="s">
        <v>6</v>
      </c>
      <c r="B70" s="2">
        <v>1061964</v>
      </c>
    </row>
    <row r="71" spans="1:2" x14ac:dyDescent="0.3">
      <c r="A71" s="5" t="s">
        <v>7</v>
      </c>
      <c r="B71" s="2">
        <v>1118233</v>
      </c>
    </row>
    <row r="72" spans="1:2" x14ac:dyDescent="0.3">
      <c r="A72" s="5" t="s">
        <v>2</v>
      </c>
      <c r="B72" s="2">
        <v>1147088</v>
      </c>
    </row>
    <row r="73" spans="1:2" x14ac:dyDescent="0.3">
      <c r="A73" s="5" t="s">
        <v>48</v>
      </c>
      <c r="B73" s="2">
        <v>1151362</v>
      </c>
    </row>
    <row r="74" spans="1:2" x14ac:dyDescent="0.3">
      <c r="A74" s="5" t="s">
        <v>3</v>
      </c>
      <c r="B74" s="2">
        <v>1329318</v>
      </c>
    </row>
    <row r="75" spans="1:2" x14ac:dyDescent="0.3">
      <c r="A75" s="5" t="s">
        <v>10</v>
      </c>
      <c r="B75" s="2">
        <v>1396246</v>
      </c>
    </row>
    <row r="76" spans="1:2" x14ac:dyDescent="0.3">
      <c r="A76" s="5" t="s">
        <v>51</v>
      </c>
      <c r="B76" s="2">
        <v>1544155</v>
      </c>
    </row>
    <row r="77" spans="1:2" x14ac:dyDescent="0.3">
      <c r="A77" s="5" t="s">
        <v>23</v>
      </c>
      <c r="B77" s="2">
        <v>1700361</v>
      </c>
    </row>
    <row r="78" spans="1:2" x14ac:dyDescent="0.3">
      <c r="A78" s="5" t="s">
        <v>46</v>
      </c>
      <c r="B78" s="2">
        <v>1853200</v>
      </c>
    </row>
    <row r="79" spans="1:2" x14ac:dyDescent="0.3">
      <c r="A79" s="5" t="s">
        <v>50</v>
      </c>
      <c r="B79" s="2">
        <v>2141268</v>
      </c>
    </row>
    <row r="80" spans="1:2" x14ac:dyDescent="0.3">
      <c r="A80" s="5" t="s">
        <v>14</v>
      </c>
      <c r="B80" s="2">
        <v>2824608</v>
      </c>
    </row>
    <row r="81" spans="1:5" x14ac:dyDescent="0.3">
      <c r="A81" s="5" t="s">
        <v>45</v>
      </c>
      <c r="B81" s="2">
        <v>2908515</v>
      </c>
    </row>
    <row r="82" spans="1:5" x14ac:dyDescent="0.3">
      <c r="A82" s="5" t="s">
        <v>24</v>
      </c>
      <c r="B82" s="2">
        <v>12806883</v>
      </c>
      <c r="E82">
        <f>GETPIVOTDATA("Suma de todos los Servicios",$A$33,"Oficina Representación","Oficinas Centrales")</f>
        <v>12806883</v>
      </c>
    </row>
    <row r="83" spans="1:5" x14ac:dyDescent="0.3">
      <c r="A83" s="5" t="s">
        <v>60</v>
      </c>
      <c r="B83" s="2">
        <v>56915689</v>
      </c>
    </row>
  </sheetData>
  <mergeCells count="2">
    <mergeCell ref="F6:J7"/>
    <mergeCell ref="B2:G2"/>
  </mergeCells>
  <pageMargins left="0.7" right="0.7" top="0.75" bottom="0.75" header="0.3" footer="0.3"/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EFD455-FE5D-4DB9-B672-24C684C812DC}">
  <dimension ref="A7:E16"/>
  <sheetViews>
    <sheetView workbookViewId="0">
      <selection activeCell="A13" sqref="A13"/>
    </sheetView>
  </sheetViews>
  <sheetFormatPr baseColWidth="10" defaultColWidth="15.109375" defaultRowHeight="14.4" x14ac:dyDescent="0.3"/>
  <cols>
    <col min="1" max="1" width="29.5546875" bestFit="1" customWidth="1"/>
    <col min="2" max="2" width="27.109375" bestFit="1" customWidth="1"/>
    <col min="3" max="4" width="36" bestFit="1" customWidth="1"/>
    <col min="5" max="441" width="21.44140625" bestFit="1" customWidth="1"/>
    <col min="442" max="442" width="11.88671875" bestFit="1" customWidth="1"/>
  </cols>
  <sheetData>
    <row r="7" spans="1:5" x14ac:dyDescent="0.3">
      <c r="A7" s="3" t="s">
        <v>79</v>
      </c>
      <c r="B7" t="s">
        <v>84</v>
      </c>
    </row>
    <row r="8" spans="1:5" x14ac:dyDescent="0.3">
      <c r="A8" s="5" t="s">
        <v>36</v>
      </c>
      <c r="B8" s="2">
        <v>36375442</v>
      </c>
      <c r="D8" t="str">
        <f>A8</f>
        <v>Serv. Culturales Derecho Hab Publ</v>
      </c>
      <c r="E8">
        <f>GETPIVOTDATA("Total de cada servicio",$A$7,"Nombre Servicio","Serv. Culturales Derecho Hab Publ")</f>
        <v>36375442</v>
      </c>
    </row>
    <row r="9" spans="1:5" x14ac:dyDescent="0.3">
      <c r="A9" s="5" t="s">
        <v>37</v>
      </c>
      <c r="B9" s="2">
        <v>11512451</v>
      </c>
    </row>
    <row r="10" spans="1:5" x14ac:dyDescent="0.3">
      <c r="A10" s="5" t="s">
        <v>42</v>
      </c>
      <c r="B10" s="2">
        <v>3250887</v>
      </c>
    </row>
    <row r="11" spans="1:5" x14ac:dyDescent="0.3">
      <c r="A11" s="5" t="s">
        <v>40</v>
      </c>
      <c r="B11" s="2">
        <v>2175717</v>
      </c>
    </row>
    <row r="12" spans="1:5" x14ac:dyDescent="0.3">
      <c r="A12" s="5" t="s">
        <v>41</v>
      </c>
      <c r="B12" s="2">
        <v>1962313</v>
      </c>
    </row>
    <row r="13" spans="1:5" x14ac:dyDescent="0.3">
      <c r="A13" s="5" t="s">
        <v>38</v>
      </c>
      <c r="B13" s="2">
        <v>661401</v>
      </c>
    </row>
    <row r="14" spans="1:5" x14ac:dyDescent="0.3">
      <c r="A14" s="5" t="s">
        <v>43</v>
      </c>
      <c r="B14" s="2">
        <v>654994</v>
      </c>
    </row>
    <row r="15" spans="1:5" x14ac:dyDescent="0.3">
      <c r="A15" s="5" t="s">
        <v>39</v>
      </c>
      <c r="B15" s="2">
        <v>322484</v>
      </c>
    </row>
    <row r="16" spans="1:5" x14ac:dyDescent="0.3">
      <c r="A16" s="5" t="s">
        <v>60</v>
      </c>
      <c r="B16" s="2">
        <v>56915689</v>
      </c>
      <c r="E16">
        <f>GETPIVOTDATA("Total de cada servicio",$A$7)</f>
        <v>56915689</v>
      </c>
    </row>
  </sheetData>
  <pageMargins left="0.7" right="0.7" top="0.75" bottom="0.75" header="0.3" footer="0.3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4A35B-1DEE-4E63-B176-45BEFEC88566}">
  <dimension ref="A1"/>
  <sheetViews>
    <sheetView workbookViewId="0">
      <selection activeCell="I30" sqref="I30"/>
    </sheetView>
  </sheetViews>
  <sheetFormatPr baseColWidth="10" defaultRowHeight="14.4" x14ac:dyDescent="0.3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2626B9-BEDB-407F-B6C7-68E4D543C3D7}">
  <dimension ref="A1:AR88"/>
  <sheetViews>
    <sheetView showGridLines="0" showRowColHeaders="0" tabSelected="1" zoomScaleNormal="100" workbookViewId="0">
      <selection activeCell="D21" sqref="D21"/>
    </sheetView>
  </sheetViews>
  <sheetFormatPr baseColWidth="10" defaultRowHeight="14.4" x14ac:dyDescent="0.3"/>
  <sheetData>
    <row r="1" spans="1:44" x14ac:dyDescent="0.3">
      <c r="A1" s="12"/>
      <c r="B1" s="12"/>
      <c r="C1" s="12"/>
      <c r="D1" s="12"/>
      <c r="E1" s="12"/>
      <c r="F1" s="12"/>
      <c r="G1" s="12"/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</row>
    <row r="2" spans="1:44" x14ac:dyDescent="0.3">
      <c r="A2" s="12"/>
      <c r="B2" s="12"/>
      <c r="C2" s="12"/>
      <c r="D2" s="12"/>
      <c r="E2" s="12"/>
      <c r="F2" s="12"/>
      <c r="G2" s="12"/>
      <c r="H2" s="12"/>
      <c r="I2" s="12"/>
      <c r="J2" s="12"/>
      <c r="K2" s="12"/>
      <c r="L2" s="12"/>
      <c r="M2" s="12"/>
      <c r="N2" s="12"/>
      <c r="O2" s="12"/>
      <c r="P2" s="12"/>
      <c r="Q2" s="12"/>
      <c r="R2" s="12"/>
      <c r="S2" s="12"/>
      <c r="T2" s="12"/>
      <c r="U2" s="12"/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  <c r="AQ2" s="12"/>
      <c r="AR2" s="12"/>
    </row>
    <row r="3" spans="1:44" x14ac:dyDescent="0.3">
      <c r="A3" s="12"/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  <c r="AQ3" s="12"/>
      <c r="AR3" s="12"/>
    </row>
    <row r="4" spans="1:44" x14ac:dyDescent="0.3">
      <c r="A4" s="12"/>
      <c r="B4" s="12"/>
      <c r="C4" s="12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</row>
    <row r="5" spans="1:44" x14ac:dyDescent="0.3">
      <c r="A5" s="12"/>
      <c r="B5" s="12"/>
      <c r="C5" s="12"/>
      <c r="D5" s="12"/>
      <c r="E5" s="12"/>
      <c r="F5" s="12"/>
      <c r="G5" s="12"/>
      <c r="H5" s="12"/>
      <c r="I5" s="12"/>
      <c r="J5" s="12"/>
      <c r="K5" s="12"/>
      <c r="L5" s="12"/>
      <c r="M5" s="12"/>
      <c r="N5" s="12"/>
      <c r="O5" s="12"/>
      <c r="P5" s="12"/>
      <c r="Q5" s="12"/>
      <c r="R5" s="12"/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  <c r="AQ5" s="12"/>
      <c r="AR5" s="12"/>
    </row>
    <row r="6" spans="1:44" x14ac:dyDescent="0.3">
      <c r="A6" s="12"/>
      <c r="B6" s="12"/>
      <c r="C6" s="12"/>
      <c r="D6" s="12"/>
      <c r="E6" s="12"/>
      <c r="F6" s="12"/>
      <c r="G6" s="12"/>
      <c r="H6" s="12"/>
      <c r="I6" s="12"/>
      <c r="J6" s="12"/>
      <c r="K6" s="12"/>
      <c r="L6" s="12"/>
      <c r="M6" s="12"/>
      <c r="N6" s="12"/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  <c r="AQ6" s="12"/>
      <c r="AR6" s="12"/>
    </row>
    <row r="7" spans="1:44" x14ac:dyDescent="0.3">
      <c r="A7" s="12"/>
      <c r="B7" s="12"/>
      <c r="C7" s="12"/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  <c r="AQ7" s="12"/>
      <c r="AR7" s="12"/>
    </row>
    <row r="8" spans="1:44" x14ac:dyDescent="0.3">
      <c r="A8" s="12"/>
      <c r="B8" s="12"/>
      <c r="C8" s="12"/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</row>
    <row r="9" spans="1:44" x14ac:dyDescent="0.3">
      <c r="A9" s="12"/>
      <c r="B9" s="12"/>
      <c r="C9" s="12"/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</row>
    <row r="10" spans="1:44" x14ac:dyDescent="0.3">
      <c r="A10" s="12"/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</row>
    <row r="11" spans="1:44" x14ac:dyDescent="0.3">
      <c r="A11" s="12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</row>
    <row r="12" spans="1:44" x14ac:dyDescent="0.3">
      <c r="A12" s="12"/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</row>
    <row r="13" spans="1:44" x14ac:dyDescent="0.3">
      <c r="A13" s="12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</row>
    <row r="14" spans="1:44" x14ac:dyDescent="0.3">
      <c r="A14" s="12"/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</row>
    <row r="15" spans="1:44" x14ac:dyDescent="0.3">
      <c r="A15" s="12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</row>
    <row r="16" spans="1:44" x14ac:dyDescent="0.3">
      <c r="A16" s="12"/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</row>
    <row r="17" spans="1:44" x14ac:dyDescent="0.3">
      <c r="A17" s="12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</row>
    <row r="18" spans="1:44" x14ac:dyDescent="0.3">
      <c r="A18" s="12"/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</row>
    <row r="19" spans="1:44" x14ac:dyDescent="0.3">
      <c r="A19" s="12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</row>
    <row r="20" spans="1:44" x14ac:dyDescent="0.3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</row>
    <row r="21" spans="1:44" x14ac:dyDescent="0.3">
      <c r="A21" s="12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2"/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</row>
    <row r="22" spans="1:44" x14ac:dyDescent="0.3">
      <c r="A22" s="12"/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</row>
    <row r="23" spans="1:44" x14ac:dyDescent="0.3">
      <c r="A23" s="12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  <c r="AQ23" s="12"/>
      <c r="AR23" s="12"/>
    </row>
    <row r="24" spans="1:44" x14ac:dyDescent="0.3">
      <c r="A24" s="12"/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  <c r="AQ24" s="12"/>
      <c r="AR24" s="12"/>
    </row>
    <row r="25" spans="1:44" x14ac:dyDescent="0.3">
      <c r="A25" s="12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</row>
    <row r="26" spans="1:44" x14ac:dyDescent="0.3">
      <c r="A26" s="12"/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  <c r="AQ26" s="12"/>
      <c r="AR26" s="12"/>
    </row>
    <row r="27" spans="1:44" x14ac:dyDescent="0.3">
      <c r="A27" s="12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  <c r="AQ27" s="12"/>
      <c r="AR27" s="12"/>
    </row>
    <row r="28" spans="1:44" x14ac:dyDescent="0.3">
      <c r="A28" s="12"/>
      <c r="B28" s="12"/>
      <c r="C28" s="12"/>
      <c r="D28" s="12"/>
      <c r="E28" s="12"/>
      <c r="F28" s="12"/>
      <c r="G28" s="12"/>
      <c r="H28" s="12"/>
      <c r="I28" s="12"/>
      <c r="J28" s="12"/>
      <c r="K28" s="12"/>
      <c r="L28" s="12"/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  <c r="AQ28" s="12"/>
      <c r="AR28" s="12"/>
    </row>
    <row r="29" spans="1:44" x14ac:dyDescent="0.3">
      <c r="A29" s="12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2"/>
      <c r="M29" s="12"/>
      <c r="N29" s="12"/>
      <c r="O29" s="12"/>
      <c r="P29" s="12"/>
      <c r="Q29" s="12"/>
      <c r="R29" s="12"/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  <c r="AQ29" s="12"/>
      <c r="AR29" s="12"/>
    </row>
    <row r="30" spans="1:44" x14ac:dyDescent="0.3">
      <c r="A30" s="12"/>
      <c r="B30" s="12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  <c r="AQ30" s="12"/>
      <c r="AR30" s="12"/>
    </row>
    <row r="31" spans="1:44" x14ac:dyDescent="0.3">
      <c r="A31" s="12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  <c r="AQ31" s="12"/>
      <c r="AR31" s="12"/>
    </row>
    <row r="32" spans="1:44" x14ac:dyDescent="0.3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  <c r="AQ32" s="12"/>
      <c r="AR32" s="12"/>
    </row>
    <row r="33" spans="1:44" x14ac:dyDescent="0.3">
      <c r="A33" s="12"/>
      <c r="B33" s="12"/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</row>
    <row r="34" spans="1:44" x14ac:dyDescent="0.3">
      <c r="A34" s="12"/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  <c r="AQ34" s="12"/>
      <c r="AR34" s="12"/>
    </row>
    <row r="35" spans="1:44" x14ac:dyDescent="0.3">
      <c r="A35" s="12"/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  <c r="AQ35" s="12"/>
      <c r="AR35" s="12"/>
    </row>
    <row r="36" spans="1:44" x14ac:dyDescent="0.3">
      <c r="A36" s="12"/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  <c r="AQ36" s="12"/>
      <c r="AR36" s="12"/>
    </row>
    <row r="37" spans="1:44" x14ac:dyDescent="0.3">
      <c r="A37" s="12"/>
      <c r="B37" s="12"/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  <c r="AQ37" s="12"/>
      <c r="AR37" s="12"/>
    </row>
    <row r="38" spans="1:44" x14ac:dyDescent="0.3">
      <c r="A38" s="12"/>
      <c r="B38" s="12"/>
      <c r="C38" s="12"/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</row>
    <row r="39" spans="1:44" x14ac:dyDescent="0.3">
      <c r="A39" s="12"/>
      <c r="B39" s="12"/>
      <c r="C39" s="12"/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  <c r="AQ39" s="12"/>
      <c r="AR39" s="12"/>
    </row>
    <row r="40" spans="1:44" x14ac:dyDescent="0.3">
      <c r="A40" s="12"/>
      <c r="B40" s="12"/>
      <c r="C40" s="12"/>
      <c r="D40" s="12"/>
      <c r="E40" s="12"/>
      <c r="F40" s="12"/>
      <c r="G40" s="12"/>
      <c r="H40" s="12"/>
      <c r="I40" s="12"/>
      <c r="J40" s="12"/>
      <c r="K40" s="12"/>
      <c r="L40" s="12"/>
      <c r="M40" s="12"/>
      <c r="N40" s="12"/>
      <c r="O40" s="12"/>
      <c r="P40" s="12"/>
      <c r="Q40" s="12"/>
      <c r="R40" s="12"/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  <c r="AQ40" s="12"/>
      <c r="AR40" s="12"/>
    </row>
    <row r="41" spans="1:44" x14ac:dyDescent="0.3">
      <c r="A41" s="12"/>
      <c r="B41" s="12"/>
      <c r="C41" s="12"/>
      <c r="D41" s="12"/>
      <c r="E41" s="12"/>
      <c r="F41" s="12"/>
      <c r="G41" s="12"/>
      <c r="H41" s="12"/>
      <c r="I41" s="12"/>
      <c r="J41" s="12"/>
      <c r="K41" s="12"/>
      <c r="L41" s="12"/>
      <c r="M41" s="12"/>
      <c r="N41" s="12"/>
      <c r="O41" s="12"/>
      <c r="P41" s="12"/>
      <c r="Q41" s="12"/>
      <c r="R41" s="12"/>
      <c r="S41" s="12"/>
      <c r="T41" s="12"/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  <c r="AQ41" s="12"/>
      <c r="AR41" s="12"/>
    </row>
    <row r="42" spans="1:44" x14ac:dyDescent="0.3">
      <c r="A42" s="12"/>
      <c r="B42" s="12"/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2"/>
    </row>
    <row r="43" spans="1:44" x14ac:dyDescent="0.3">
      <c r="A43" s="12"/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  <c r="AQ43" s="12"/>
      <c r="AR43" s="12"/>
    </row>
    <row r="44" spans="1:44" x14ac:dyDescent="0.3">
      <c r="A44" s="12"/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  <c r="O44" s="12"/>
      <c r="P44" s="12"/>
      <c r="Q44" s="12"/>
      <c r="R44" s="12"/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</row>
    <row r="45" spans="1:44" x14ac:dyDescent="0.3">
      <c r="A45" s="12"/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  <c r="AQ45" s="12"/>
      <c r="AR45" s="12"/>
    </row>
    <row r="46" spans="1:44" x14ac:dyDescent="0.3">
      <c r="A46" s="12"/>
      <c r="B46" s="12"/>
      <c r="C46" s="12"/>
      <c r="D46" s="12"/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2"/>
      <c r="Q46" s="12"/>
      <c r="R46" s="12"/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  <c r="AQ46" s="12"/>
      <c r="AR46" s="12"/>
    </row>
    <row r="47" spans="1:44" x14ac:dyDescent="0.3">
      <c r="A47" s="12"/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  <c r="AQ47" s="12"/>
      <c r="AR47" s="12"/>
    </row>
    <row r="48" spans="1:44" x14ac:dyDescent="0.3">
      <c r="A48" s="12"/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  <c r="AQ48" s="12"/>
      <c r="AR48" s="12"/>
    </row>
    <row r="49" spans="1:44" x14ac:dyDescent="0.3">
      <c r="A49" s="12"/>
      <c r="B49" s="12"/>
      <c r="C49" s="12"/>
      <c r="D49" s="12"/>
      <c r="E49" s="12"/>
      <c r="F49" s="12"/>
      <c r="G49" s="12"/>
      <c r="H49" s="12"/>
      <c r="I49" s="12"/>
      <c r="J49" s="12"/>
      <c r="K49" s="12"/>
      <c r="L49" s="12"/>
      <c r="M49" s="12"/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  <c r="AQ49" s="12"/>
      <c r="AR49" s="12"/>
    </row>
    <row r="50" spans="1:44" x14ac:dyDescent="0.3">
      <c r="A50" s="12"/>
      <c r="B50" s="12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  <c r="AQ50" s="12"/>
      <c r="AR50" s="12"/>
    </row>
    <row r="51" spans="1:44" x14ac:dyDescent="0.3">
      <c r="A51" s="12"/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  <c r="AQ51" s="12"/>
      <c r="AR51" s="12"/>
    </row>
    <row r="52" spans="1:44" x14ac:dyDescent="0.3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  <c r="AQ52" s="12"/>
      <c r="AR52" s="12"/>
    </row>
    <row r="53" spans="1:44" x14ac:dyDescent="0.3">
      <c r="A53" s="12"/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  <c r="AQ53" s="12"/>
      <c r="AR53" s="12"/>
    </row>
    <row r="54" spans="1:44" x14ac:dyDescent="0.3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  <c r="AQ54" s="12"/>
      <c r="AR54" s="12"/>
    </row>
    <row r="55" spans="1:44" x14ac:dyDescent="0.3">
      <c r="A55" s="12"/>
      <c r="B55" s="12"/>
      <c r="C55" s="12"/>
      <c r="D55" s="12"/>
      <c r="E55" s="12"/>
      <c r="F55" s="12"/>
      <c r="G55" s="12"/>
      <c r="H55" s="12"/>
      <c r="I55" s="12"/>
      <c r="J55" s="12"/>
      <c r="K55" s="12"/>
      <c r="L55" s="12"/>
      <c r="M55" s="12"/>
      <c r="N55" s="12"/>
      <c r="O55" s="12"/>
      <c r="P55" s="12"/>
      <c r="Q55" s="12"/>
      <c r="R55" s="12"/>
      <c r="S55" s="12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</row>
    <row r="56" spans="1:44" x14ac:dyDescent="0.3">
      <c r="A56" s="12"/>
      <c r="B56" s="12"/>
      <c r="C56" s="12"/>
      <c r="D56" s="12"/>
      <c r="E56" s="12"/>
      <c r="F56" s="12"/>
      <c r="G56" s="12"/>
      <c r="H56" s="12"/>
      <c r="I56" s="12"/>
      <c r="J56" s="12"/>
      <c r="K56" s="12"/>
      <c r="L56" s="12"/>
      <c r="M56" s="12"/>
      <c r="N56" s="12"/>
      <c r="O56" s="12"/>
      <c r="P56" s="12"/>
      <c r="Q56" s="12"/>
      <c r="R56" s="12"/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  <c r="AQ56" s="12"/>
      <c r="AR56" s="12"/>
    </row>
    <row r="57" spans="1:44" x14ac:dyDescent="0.3">
      <c r="A57" s="12"/>
      <c r="B57" s="12"/>
      <c r="C57" s="12"/>
      <c r="D57" s="12"/>
      <c r="E57" s="12"/>
      <c r="F57" s="12"/>
      <c r="G57" s="12"/>
      <c r="H57" s="12"/>
      <c r="I57" s="12"/>
      <c r="J57" s="12"/>
      <c r="K57" s="12"/>
      <c r="L57" s="12"/>
      <c r="M57" s="12"/>
      <c r="N57" s="12"/>
      <c r="O57" s="12"/>
      <c r="P57" s="12"/>
      <c r="Q57" s="12"/>
      <c r="R57" s="12"/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  <c r="AQ57" s="12"/>
      <c r="AR57" s="12"/>
    </row>
    <row r="58" spans="1:44" x14ac:dyDescent="0.3">
      <c r="A58" s="12"/>
      <c r="B58" s="12"/>
      <c r="C58" s="12"/>
      <c r="D58" s="12"/>
      <c r="E58" s="12"/>
      <c r="F58" s="12"/>
      <c r="G58" s="12"/>
      <c r="H58" s="12"/>
      <c r="I58" s="12"/>
      <c r="J58" s="12"/>
      <c r="K58" s="12"/>
      <c r="L58" s="12"/>
      <c r="M58" s="12"/>
      <c r="N58" s="12"/>
      <c r="O58" s="12"/>
      <c r="P58" s="12"/>
      <c r="Q58" s="12"/>
      <c r="R58" s="12"/>
      <c r="S58" s="12"/>
      <c r="T58" s="12"/>
      <c r="U58" s="12"/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  <c r="AQ58" s="12"/>
      <c r="AR58" s="12"/>
    </row>
    <row r="59" spans="1:44" x14ac:dyDescent="0.3">
      <c r="A59" s="12"/>
      <c r="B59" s="12"/>
      <c r="C59" s="12"/>
      <c r="D59" s="12"/>
      <c r="E59" s="12"/>
      <c r="F59" s="12"/>
      <c r="G59" s="12"/>
      <c r="H59" s="12"/>
      <c r="I59" s="12"/>
      <c r="J59" s="12"/>
      <c r="K59" s="12"/>
      <c r="L59" s="12"/>
      <c r="M59" s="12"/>
      <c r="N59" s="12"/>
      <c r="O59" s="12"/>
      <c r="P59" s="12"/>
      <c r="Q59" s="12"/>
      <c r="R59" s="12"/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  <c r="AQ59" s="12"/>
      <c r="AR59" s="12"/>
    </row>
    <row r="60" spans="1:44" x14ac:dyDescent="0.3">
      <c r="A60" s="12"/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  <c r="AQ60" s="12"/>
      <c r="AR60" s="12"/>
    </row>
    <row r="61" spans="1:44" x14ac:dyDescent="0.3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  <c r="AQ61" s="12"/>
      <c r="AR61" s="12"/>
    </row>
    <row r="62" spans="1:44" x14ac:dyDescent="0.3">
      <c r="A62" s="12"/>
      <c r="B62" s="12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  <c r="AQ62" s="12"/>
      <c r="AR62" s="12"/>
    </row>
    <row r="63" spans="1:44" x14ac:dyDescent="0.3">
      <c r="A63" s="12"/>
      <c r="B63" s="12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  <c r="AQ63" s="12"/>
      <c r="AR63" s="12"/>
    </row>
    <row r="64" spans="1:44" x14ac:dyDescent="0.3">
      <c r="A64" s="12"/>
      <c r="B64" s="12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</row>
    <row r="65" spans="1:44" x14ac:dyDescent="0.3">
      <c r="A65" s="12"/>
      <c r="B65" s="12"/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</row>
    <row r="66" spans="1:44" x14ac:dyDescent="0.3">
      <c r="A66" s="12"/>
      <c r="B66" s="12"/>
      <c r="C66" s="12"/>
      <c r="D66" s="12"/>
      <c r="E66" s="12"/>
      <c r="F66" s="12"/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2"/>
      <c r="S66" s="12"/>
      <c r="T66" s="12"/>
      <c r="U66" s="12"/>
      <c r="V66" s="12"/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</row>
    <row r="67" spans="1:44" x14ac:dyDescent="0.3">
      <c r="A67" s="12"/>
      <c r="B67" s="12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</row>
    <row r="68" spans="1:44" x14ac:dyDescent="0.3">
      <c r="A68" s="12"/>
      <c r="B68" s="12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/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</row>
    <row r="69" spans="1:44" x14ac:dyDescent="0.3">
      <c r="A69" s="12"/>
      <c r="B69" s="12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</row>
    <row r="70" spans="1:44" x14ac:dyDescent="0.3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</row>
    <row r="71" spans="1:44" x14ac:dyDescent="0.3">
      <c r="A71" s="12"/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2"/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</row>
    <row r="72" spans="1:44" x14ac:dyDescent="0.3">
      <c r="A72" s="12"/>
      <c r="B72" s="12"/>
      <c r="C72" s="12"/>
      <c r="D72" s="12"/>
      <c r="E72" s="12"/>
      <c r="F72" s="12"/>
      <c r="G72" s="12"/>
      <c r="H72" s="12"/>
      <c r="I72" s="12"/>
      <c r="J72" s="12"/>
      <c r="K72" s="12"/>
      <c r="L72" s="12"/>
      <c r="M72" s="12"/>
      <c r="N72" s="12"/>
      <c r="O72" s="12"/>
      <c r="P72" s="12"/>
      <c r="Q72" s="12"/>
      <c r="R72" s="12"/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</row>
    <row r="73" spans="1:44" x14ac:dyDescent="0.3">
      <c r="A73" s="12"/>
      <c r="B73" s="12"/>
      <c r="C73" s="12"/>
      <c r="D73" s="12"/>
      <c r="E73" s="12"/>
      <c r="F73" s="12"/>
      <c r="G73" s="12"/>
      <c r="H73" s="12"/>
      <c r="I73" s="12"/>
      <c r="J73" s="12"/>
      <c r="K73" s="12"/>
      <c r="L73" s="12"/>
      <c r="M73" s="12"/>
      <c r="N73" s="12"/>
      <c r="O73" s="12"/>
      <c r="P73" s="12"/>
      <c r="Q73" s="12"/>
      <c r="R73" s="12"/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</row>
    <row r="74" spans="1:44" x14ac:dyDescent="0.3">
      <c r="A74" s="12"/>
      <c r="B74" s="12"/>
      <c r="C74" s="12"/>
      <c r="D74" s="12"/>
      <c r="E74" s="12"/>
      <c r="F74" s="12"/>
      <c r="G74" s="12"/>
      <c r="H74" s="12"/>
      <c r="I74" s="12"/>
      <c r="J74" s="12"/>
      <c r="K74" s="12"/>
      <c r="L74" s="12"/>
      <c r="M74" s="12"/>
      <c r="N74" s="12"/>
      <c r="O74" s="12"/>
      <c r="P74" s="12"/>
      <c r="Q74" s="12"/>
      <c r="R74" s="12"/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</row>
    <row r="75" spans="1:44" x14ac:dyDescent="0.3">
      <c r="A75" s="12"/>
      <c r="B75" s="12"/>
      <c r="C75" s="12"/>
      <c r="D75" s="12"/>
      <c r="E75" s="12"/>
      <c r="F75" s="12"/>
      <c r="G75" s="12"/>
      <c r="H75" s="12"/>
      <c r="I75" s="12"/>
      <c r="J75" s="12"/>
      <c r="K75" s="12"/>
      <c r="L75" s="12"/>
      <c r="M75" s="12"/>
      <c r="N75" s="12"/>
      <c r="O75" s="12"/>
      <c r="P75" s="12"/>
      <c r="Q75" s="12"/>
      <c r="R75" s="12"/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</row>
    <row r="76" spans="1:44" x14ac:dyDescent="0.3">
      <c r="A76" s="12"/>
      <c r="B76" s="12"/>
      <c r="C76" s="12"/>
      <c r="D76" s="12"/>
      <c r="E76" s="12"/>
      <c r="F76" s="12"/>
      <c r="G76" s="12"/>
      <c r="H76" s="12"/>
      <c r="I76" s="12"/>
      <c r="J76" s="12"/>
      <c r="K76" s="12"/>
      <c r="L76" s="12"/>
      <c r="M76" s="12"/>
      <c r="N76" s="12"/>
      <c r="O76" s="12"/>
      <c r="P76" s="12"/>
      <c r="Q76" s="12"/>
      <c r="R76" s="12"/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  <c r="AQ76" s="12"/>
      <c r="AR76" s="12"/>
    </row>
    <row r="77" spans="1:44" x14ac:dyDescent="0.3">
      <c r="A77" s="12"/>
      <c r="B77" s="12"/>
      <c r="C77" s="12"/>
      <c r="D77" s="12"/>
      <c r="E77" s="12"/>
      <c r="F77" s="12"/>
      <c r="G77" s="12"/>
      <c r="H77" s="12"/>
      <c r="I77" s="12"/>
      <c r="J77" s="12"/>
      <c r="K77" s="12"/>
      <c r="L77" s="12"/>
      <c r="M77" s="12"/>
      <c r="N77" s="12"/>
      <c r="O77" s="12"/>
      <c r="P77" s="12"/>
      <c r="Q77" s="12"/>
      <c r="R77" s="12"/>
      <c r="S77" s="12"/>
      <c r="T77" s="12"/>
      <c r="U77" s="12"/>
      <c r="V77" s="12"/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  <c r="AQ77" s="12"/>
      <c r="AR77" s="12"/>
    </row>
    <row r="78" spans="1:44" x14ac:dyDescent="0.3">
      <c r="A78" s="12"/>
      <c r="B78" s="12"/>
      <c r="C78" s="12"/>
      <c r="D78" s="12"/>
      <c r="E78" s="12"/>
      <c r="F78" s="12"/>
      <c r="G78" s="12"/>
      <c r="H78" s="12"/>
      <c r="I78" s="12"/>
      <c r="J78" s="12"/>
      <c r="K78" s="12"/>
      <c r="L78" s="12"/>
      <c r="M78" s="12"/>
      <c r="N78" s="12"/>
      <c r="O78" s="12"/>
      <c r="P78" s="12"/>
      <c r="Q78" s="12"/>
      <c r="R78" s="12"/>
      <c r="S78" s="12"/>
      <c r="T78" s="12"/>
      <c r="U78" s="12"/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  <c r="AQ78" s="12"/>
      <c r="AR78" s="12"/>
    </row>
    <row r="79" spans="1:44" x14ac:dyDescent="0.3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</row>
    <row r="80" spans="1:44" x14ac:dyDescent="0.3">
      <c r="A80" s="12"/>
      <c r="B80" s="12"/>
      <c r="C80" s="12"/>
      <c r="D80" s="12"/>
      <c r="E80" s="12"/>
      <c r="F80" s="12"/>
      <c r="G80" s="12"/>
      <c r="H80" s="12"/>
      <c r="I80" s="12"/>
      <c r="J80" s="12"/>
      <c r="K80" s="12"/>
      <c r="L80" s="12"/>
      <c r="M80" s="12"/>
      <c r="N80" s="12"/>
      <c r="O80" s="12"/>
      <c r="P80" s="12"/>
      <c r="Q80" s="12"/>
      <c r="R80" s="12"/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  <c r="AQ80" s="12"/>
      <c r="AR80" s="12"/>
    </row>
    <row r="81" spans="1:44" x14ac:dyDescent="0.3">
      <c r="A81" s="12"/>
      <c r="B81" s="12"/>
      <c r="C81" s="12"/>
      <c r="D81" s="12"/>
      <c r="E81" s="12"/>
      <c r="F81" s="12"/>
      <c r="G81" s="12"/>
      <c r="H81" s="12"/>
      <c r="I81" s="12"/>
      <c r="J81" s="12"/>
      <c r="K81" s="12"/>
      <c r="L81" s="12"/>
      <c r="M81" s="12"/>
      <c r="N81" s="12"/>
      <c r="O81" s="12"/>
      <c r="P81" s="12"/>
      <c r="Q81" s="12"/>
      <c r="R81" s="12"/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  <c r="AQ81" s="12"/>
      <c r="AR81" s="12"/>
    </row>
    <row r="82" spans="1:44" x14ac:dyDescent="0.3">
      <c r="A82" s="12"/>
      <c r="B82" s="12"/>
      <c r="C82" s="12"/>
      <c r="D82" s="12"/>
      <c r="E82" s="12"/>
      <c r="F82" s="12"/>
      <c r="G82" s="12"/>
      <c r="H82" s="12"/>
      <c r="I82" s="12"/>
      <c r="J82" s="12"/>
      <c r="K82" s="12"/>
      <c r="L82" s="12"/>
      <c r="M82" s="12"/>
      <c r="N82" s="12"/>
      <c r="O82" s="12"/>
      <c r="P82" s="12"/>
      <c r="Q82" s="12"/>
      <c r="R82" s="12"/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  <c r="AQ82" s="12"/>
      <c r="AR82" s="12"/>
    </row>
    <row r="83" spans="1:44" x14ac:dyDescent="0.3">
      <c r="A83" s="12"/>
      <c r="B83" s="12"/>
      <c r="C83" s="12"/>
      <c r="D83" s="12"/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2"/>
      <c r="P83" s="12"/>
      <c r="Q83" s="12"/>
      <c r="R83" s="12"/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  <c r="AQ83" s="12"/>
      <c r="AR83" s="12"/>
    </row>
    <row r="84" spans="1:44" x14ac:dyDescent="0.3">
      <c r="A84" s="12"/>
      <c r="B84" s="12"/>
      <c r="C84" s="12"/>
      <c r="D84" s="12"/>
      <c r="E84" s="12"/>
      <c r="F84" s="12"/>
      <c r="G84" s="12"/>
      <c r="H84" s="12"/>
      <c r="I84" s="12"/>
      <c r="J84" s="12"/>
      <c r="K84" s="12"/>
      <c r="L84" s="12"/>
      <c r="M84" s="12"/>
      <c r="N84" s="12"/>
      <c r="O84" s="12"/>
      <c r="P84" s="12"/>
      <c r="Q84" s="12"/>
      <c r="R84" s="12"/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  <c r="AQ84" s="12"/>
      <c r="AR84" s="12"/>
    </row>
    <row r="85" spans="1:44" x14ac:dyDescent="0.3">
      <c r="A85" s="12"/>
      <c r="B85" s="12"/>
      <c r="C85" s="12"/>
      <c r="D85" s="12"/>
      <c r="E85" s="12"/>
      <c r="F85" s="12"/>
      <c r="G85" s="12"/>
      <c r="H85" s="12"/>
      <c r="I85" s="12"/>
      <c r="J85" s="12"/>
      <c r="K85" s="12"/>
      <c r="L85" s="12"/>
      <c r="M85" s="12"/>
      <c r="N85" s="12"/>
      <c r="O85" s="12"/>
      <c r="P85" s="12"/>
      <c r="Q85" s="12"/>
      <c r="R85" s="12"/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  <c r="AQ85" s="12"/>
      <c r="AR85" s="12"/>
    </row>
    <row r="86" spans="1:44" x14ac:dyDescent="0.3">
      <c r="A86" s="12"/>
      <c r="B86" s="12"/>
      <c r="C86" s="12"/>
      <c r="D86" s="12"/>
      <c r="E86" s="12"/>
      <c r="F86" s="12"/>
      <c r="G86" s="12"/>
      <c r="H86" s="12"/>
      <c r="I86" s="12"/>
      <c r="J86" s="12"/>
      <c r="K86" s="12"/>
      <c r="L86" s="12"/>
      <c r="M86" s="12"/>
      <c r="N86" s="12"/>
      <c r="O86" s="12"/>
      <c r="P86" s="12"/>
      <c r="Q86" s="12"/>
      <c r="R86" s="12"/>
      <c r="S86" s="12"/>
      <c r="T86" s="12"/>
      <c r="U86" s="12"/>
      <c r="V86" s="12"/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  <c r="AQ86" s="12"/>
      <c r="AR86" s="12"/>
    </row>
    <row r="87" spans="1:44" x14ac:dyDescent="0.3">
      <c r="A87" s="12"/>
      <c r="B87" s="12"/>
      <c r="C87" s="12"/>
      <c r="D87" s="12"/>
      <c r="E87" s="12"/>
      <c r="F87" s="12"/>
      <c r="G87" s="12"/>
      <c r="H87" s="12"/>
      <c r="I87" s="12"/>
      <c r="J87" s="12"/>
      <c r="K87" s="12"/>
      <c r="L87" s="12"/>
      <c r="M87" s="12"/>
      <c r="N87" s="12"/>
      <c r="O87" s="12"/>
      <c r="P87" s="12"/>
      <c r="Q87" s="12"/>
      <c r="R87" s="12"/>
      <c r="S87" s="12"/>
      <c r="T87" s="12"/>
      <c r="U87" s="12"/>
      <c r="V87" s="12"/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  <c r="AQ87" s="12"/>
      <c r="AR87" s="12"/>
    </row>
    <row r="88" spans="1:44" x14ac:dyDescent="0.3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  <c r="AQ88" s="12"/>
      <c r="AR88" s="12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servicios_cult_soc_dep_rec_isss</vt:lpstr>
      <vt:lpstr>Servios deportivos por año</vt:lpstr>
      <vt:lpstr>Comp entre cul vs dep vs soc</vt:lpstr>
      <vt:lpstr>Ranking de delegaciones</vt:lpstr>
      <vt:lpstr>Ranking de Servicios</vt:lpstr>
      <vt:lpstr>KPI's</vt:lpstr>
      <vt:lpstr>Dasboard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said mariano</dc:creator>
  <cp:lastModifiedBy>Said Mariano</cp:lastModifiedBy>
  <dcterms:created xsi:type="dcterms:W3CDTF">2025-11-18T17:33:19Z</dcterms:created>
  <dcterms:modified xsi:type="dcterms:W3CDTF">2025-11-22T01:00:06Z</dcterms:modified>
</cp:coreProperties>
</file>