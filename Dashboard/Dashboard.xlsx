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 Scientist\Portafolio\servicios_cul_soci_depor_recre\Dashboard\"/>
    </mc:Choice>
  </mc:AlternateContent>
  <xr:revisionPtr revIDLastSave="0" documentId="13_ncr:1_{45C5303E-6425-40A1-B50A-679E2410A70D}" xr6:coauthVersionLast="47" xr6:coauthVersionMax="47" xr10:uidLastSave="{00000000-0000-0000-0000-000000000000}"/>
  <bookViews>
    <workbookView xWindow="-28908" yWindow="-108" windowWidth="29016" windowHeight="15816" activeTab="5" xr2:uid="{0F6DE12B-782F-43E4-BCEE-D62EF1718F31}"/>
  </bookViews>
  <sheets>
    <sheet name="servicios_cult_soc_dep_rec_isss" sheetId="1" r:id="rId1"/>
    <sheet name="Servios deportivos por año" sheetId="2" r:id="rId2"/>
    <sheet name="Comp entre cul vs dep vs soc" sheetId="3" r:id="rId3"/>
    <sheet name="Ranking de delegaciones" sheetId="4" r:id="rId4"/>
    <sheet name="Ranking de Servicios" sheetId="6" r:id="rId5"/>
    <sheet name="KPI's" sheetId="5" r:id="rId6"/>
  </sheets>
  <calcPr calcId="191029"/>
  <pivotCaches>
    <pivotCache cacheId="2" r:id="rId7"/>
    <pivotCache cacheId="1" r:id="rId8"/>
  </pivotCaches>
</workbook>
</file>

<file path=xl/calcChain.xml><?xml version="1.0" encoding="utf-8"?>
<calcChain xmlns="http://schemas.openxmlformats.org/spreadsheetml/2006/main">
  <c r="D8" i="6" l="1"/>
  <c r="C499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498" i="1"/>
  <c r="D498" i="1"/>
  <c r="E498" i="1"/>
  <c r="F498" i="1"/>
  <c r="G498" i="1"/>
  <c r="H498" i="1"/>
  <c r="I498" i="1"/>
  <c r="J498" i="1"/>
  <c r="D499" i="1"/>
  <c r="E499" i="1"/>
  <c r="F499" i="1"/>
  <c r="G499" i="1"/>
  <c r="H499" i="1"/>
  <c r="I499" i="1"/>
  <c r="J499" i="1"/>
  <c r="A28" i="4"/>
  <c r="D34" i="4"/>
  <c r="L203" i="1"/>
  <c r="L173" i="1"/>
  <c r="L249" i="1"/>
  <c r="L85" i="1"/>
  <c r="L70" i="1"/>
  <c r="L144" i="1"/>
  <c r="L140" i="1"/>
  <c r="L159" i="1"/>
  <c r="L103" i="1"/>
  <c r="L89" i="1"/>
  <c r="L201" i="1"/>
  <c r="L67" i="1"/>
  <c r="L169" i="1"/>
  <c r="L170" i="1"/>
  <c r="L235" i="1"/>
  <c r="L90" i="1"/>
  <c r="L108" i="1"/>
  <c r="L72" i="1"/>
  <c r="L17" i="1"/>
  <c r="L227" i="1"/>
  <c r="L183" i="1"/>
  <c r="L154" i="1"/>
  <c r="L45" i="1"/>
  <c r="L216" i="1"/>
  <c r="L205" i="1"/>
  <c r="L139" i="1"/>
  <c r="L272" i="1"/>
  <c r="L74" i="1"/>
  <c r="L179" i="1"/>
  <c r="L53" i="1"/>
  <c r="L49" i="1"/>
  <c r="L36" i="1"/>
  <c r="L32" i="1"/>
  <c r="L62" i="1"/>
  <c r="L26" i="1"/>
  <c r="L2" i="1"/>
  <c r="L219" i="1"/>
  <c r="L207" i="1"/>
  <c r="L243" i="1"/>
  <c r="L136" i="1"/>
  <c r="L231" i="1"/>
  <c r="L79" i="1"/>
  <c r="L118" i="1"/>
  <c r="L135" i="1"/>
  <c r="L270" i="1"/>
  <c r="L80" i="1"/>
  <c r="L143" i="1"/>
  <c r="L150" i="1"/>
  <c r="L200" i="1"/>
  <c r="L68" i="1"/>
  <c r="L168" i="1"/>
  <c r="L30" i="1"/>
  <c r="L51" i="1"/>
  <c r="L106" i="1"/>
  <c r="L105" i="1"/>
  <c r="L92" i="1"/>
  <c r="L13" i="1"/>
  <c r="L145" i="1"/>
  <c r="L195" i="1"/>
  <c r="L247" i="1"/>
  <c r="L18" i="1"/>
  <c r="L261" i="1"/>
  <c r="L192" i="1"/>
  <c r="L117" i="1"/>
  <c r="L265" i="1"/>
  <c r="L102" i="1"/>
  <c r="L152" i="1"/>
  <c r="L43" i="1"/>
  <c r="L48" i="1"/>
  <c r="L41" i="1"/>
  <c r="L46" i="1"/>
  <c r="L60" i="1"/>
  <c r="L23" i="1"/>
  <c r="L3" i="1"/>
  <c r="L204" i="1"/>
  <c r="L188" i="1"/>
  <c r="L226" i="1"/>
  <c r="L124" i="1"/>
  <c r="L238" i="1"/>
  <c r="L94" i="1"/>
  <c r="L98" i="1"/>
  <c r="L151" i="1"/>
  <c r="L232" i="1"/>
  <c r="L112" i="1"/>
  <c r="L101" i="1"/>
  <c r="L181" i="1"/>
  <c r="L217" i="1"/>
  <c r="L73" i="1"/>
  <c r="L134" i="1"/>
  <c r="L28" i="1"/>
  <c r="L77" i="1"/>
  <c r="L119" i="1"/>
  <c r="L114" i="1"/>
  <c r="L87" i="1"/>
  <c r="L12" i="1"/>
  <c r="L111" i="1"/>
  <c r="L180" i="1"/>
  <c r="L274" i="1"/>
  <c r="L14" i="1"/>
  <c r="L220" i="1"/>
  <c r="L211" i="1"/>
  <c r="L146" i="1"/>
  <c r="L236" i="1"/>
  <c r="L93" i="1"/>
  <c r="L166" i="1"/>
  <c r="L39" i="1"/>
  <c r="L47" i="1"/>
  <c r="L52" i="1"/>
  <c r="L15" i="1"/>
  <c r="L69" i="1"/>
  <c r="L35" i="1"/>
  <c r="L4" i="1"/>
  <c r="L233" i="1"/>
  <c r="L175" i="1"/>
  <c r="L283" i="1"/>
  <c r="L230" i="1"/>
  <c r="L298" i="1"/>
  <c r="L212" i="1"/>
  <c r="L156" i="1"/>
  <c r="L248" i="1"/>
  <c r="L246" i="1"/>
  <c r="L218" i="1"/>
  <c r="L221" i="1"/>
  <c r="L257" i="1"/>
  <c r="L284" i="1"/>
  <c r="L198" i="1"/>
  <c r="L149" i="1"/>
  <c r="L71" i="1"/>
  <c r="L280" i="1"/>
  <c r="L177" i="1"/>
  <c r="L240" i="1"/>
  <c r="L191" i="1"/>
  <c r="L31" i="1"/>
  <c r="L225" i="1"/>
  <c r="L245" i="1"/>
  <c r="L312" i="1"/>
  <c r="L78" i="1"/>
  <c r="L256" i="1"/>
  <c r="L199" i="1"/>
  <c r="L202" i="1"/>
  <c r="L294" i="1"/>
  <c r="L189" i="1"/>
  <c r="L253" i="1"/>
  <c r="L127" i="1"/>
  <c r="L161" i="1"/>
  <c r="L174" i="1"/>
  <c r="L91" i="1"/>
  <c r="L262" i="1"/>
  <c r="L129" i="1"/>
  <c r="L8" i="1"/>
  <c r="L269" i="1"/>
  <c r="L228" i="1"/>
  <c r="L222" i="1"/>
  <c r="L138" i="1"/>
  <c r="L241" i="1"/>
  <c r="L83" i="1"/>
  <c r="L63" i="1"/>
  <c r="L162" i="1"/>
  <c r="L137" i="1"/>
  <c r="L84" i="1"/>
  <c r="L88" i="1"/>
  <c r="L132" i="1"/>
  <c r="L224" i="1"/>
  <c r="L65" i="1"/>
  <c r="L97" i="1"/>
  <c r="L29" i="1"/>
  <c r="L158" i="1"/>
  <c r="L182" i="1"/>
  <c r="L186" i="1"/>
  <c r="L110" i="1"/>
  <c r="L11" i="1"/>
  <c r="L109" i="1"/>
  <c r="L147" i="1"/>
  <c r="L215" i="1"/>
  <c r="L25" i="1"/>
  <c r="L187" i="1"/>
  <c r="L122" i="1"/>
  <c r="L95" i="1"/>
  <c r="L260" i="1"/>
  <c r="L131" i="1"/>
  <c r="L141" i="1"/>
  <c r="L55" i="1"/>
  <c r="L40" i="1"/>
  <c r="L34" i="1"/>
  <c r="L38" i="1"/>
  <c r="L99" i="1"/>
  <c r="L24" i="1"/>
  <c r="L6" i="1"/>
  <c r="L239" i="1"/>
  <c r="L172" i="1"/>
  <c r="L264" i="1"/>
  <c r="L148" i="1"/>
  <c r="L254" i="1"/>
  <c r="L113" i="1"/>
  <c r="L56" i="1"/>
  <c r="L142" i="1"/>
  <c r="L178" i="1"/>
  <c r="L130" i="1"/>
  <c r="L76" i="1"/>
  <c r="L176" i="1"/>
  <c r="L214" i="1"/>
  <c r="L54" i="1"/>
  <c r="L100" i="1"/>
  <c r="L27" i="1"/>
  <c r="L209" i="1"/>
  <c r="L164" i="1"/>
  <c r="L165" i="1"/>
  <c r="L121" i="1"/>
  <c r="L10" i="1"/>
  <c r="L116" i="1"/>
  <c r="L153" i="1"/>
  <c r="L213" i="1"/>
  <c r="L20" i="1"/>
  <c r="L184" i="1"/>
  <c r="L128" i="1"/>
  <c r="L82" i="1"/>
  <c r="L263" i="1"/>
  <c r="L125" i="1"/>
  <c r="L155" i="1"/>
  <c r="L61" i="1"/>
  <c r="L44" i="1"/>
  <c r="L33" i="1"/>
  <c r="L50" i="1"/>
  <c r="L57" i="1"/>
  <c r="L21" i="1"/>
  <c r="L5" i="1"/>
  <c r="L252" i="1"/>
  <c r="L190" i="1"/>
  <c r="L268" i="1"/>
  <c r="L278" i="1"/>
  <c r="L208" i="1"/>
  <c r="L163" i="1"/>
  <c r="L58" i="1"/>
  <c r="L96" i="1"/>
  <c r="L157" i="1"/>
  <c r="L104" i="1"/>
  <c r="L75" i="1"/>
  <c r="L185" i="1"/>
  <c r="L206" i="1"/>
  <c r="L59" i="1"/>
  <c r="L133" i="1"/>
  <c r="L42" i="1"/>
  <c r="L64" i="1"/>
  <c r="L167" i="1"/>
  <c r="L126" i="1"/>
  <c r="L86" i="1"/>
  <c r="L9" i="1"/>
  <c r="L115" i="1"/>
  <c r="L210" i="1"/>
  <c r="L197" i="1"/>
  <c r="L16" i="1"/>
  <c r="L194" i="1"/>
  <c r="L193" i="1"/>
  <c r="L123" i="1"/>
  <c r="L255" i="1"/>
  <c r="L229" i="1"/>
  <c r="L171" i="1"/>
  <c r="L107" i="1"/>
  <c r="L37" i="1"/>
  <c r="L66" i="1"/>
  <c r="L19" i="1"/>
  <c r="L81" i="1"/>
  <c r="L22" i="1"/>
  <c r="L7" i="1"/>
  <c r="L223" i="1"/>
  <c r="L160" i="1"/>
  <c r="L302" i="1"/>
  <c r="L318" i="1"/>
  <c r="L281" i="1"/>
  <c r="L237" i="1"/>
  <c r="L277" i="1"/>
  <c r="L289" i="1"/>
  <c r="L295" i="1"/>
  <c r="L291" i="1"/>
  <c r="L290" i="1"/>
  <c r="L319" i="1"/>
  <c r="L314" i="1"/>
  <c r="L271" i="1"/>
  <c r="L282" i="1"/>
  <c r="L251" i="1"/>
  <c r="L288" i="1"/>
  <c r="L300" i="1"/>
  <c r="L279" i="1"/>
  <c r="L293" i="1"/>
  <c r="L266" i="1"/>
  <c r="L286" i="1"/>
  <c r="L330" i="1"/>
  <c r="L301" i="1"/>
  <c r="L244" i="1"/>
  <c r="L368" i="1"/>
  <c r="L341" i="1"/>
  <c r="L317" i="1"/>
  <c r="L303" i="1"/>
  <c r="L292" i="1"/>
  <c r="L296" i="1"/>
  <c r="L285" i="1"/>
  <c r="L275" i="1"/>
  <c r="L259" i="1"/>
  <c r="L234" i="1"/>
  <c r="L276" i="1"/>
  <c r="L267" i="1"/>
  <c r="L120" i="1"/>
  <c r="L491" i="1"/>
  <c r="L304" i="1"/>
  <c r="L470" i="1"/>
  <c r="L466" i="1"/>
  <c r="L489" i="1"/>
  <c r="L378" i="1"/>
  <c r="L358" i="1"/>
  <c r="L352" i="1"/>
  <c r="L436" i="1"/>
  <c r="L375" i="1"/>
  <c r="L426" i="1"/>
  <c r="L399" i="1"/>
  <c r="L420" i="1"/>
  <c r="L463" i="1"/>
  <c r="L379" i="1"/>
  <c r="L337" i="1"/>
  <c r="L339" i="1"/>
  <c r="L366" i="1"/>
  <c r="L449" i="1"/>
  <c r="L388" i="1"/>
  <c r="L453" i="1"/>
  <c r="L428" i="1"/>
  <c r="L458" i="1"/>
  <c r="L425" i="1"/>
  <c r="L432" i="1"/>
  <c r="L385" i="1"/>
  <c r="L492" i="1"/>
  <c r="L412" i="1"/>
  <c r="L490" i="1"/>
  <c r="L389" i="1"/>
  <c r="L407" i="1"/>
  <c r="L370" i="1"/>
  <c r="L406" i="1"/>
  <c r="L374" i="1"/>
  <c r="L313" i="1"/>
  <c r="L329" i="1"/>
  <c r="L351" i="1"/>
  <c r="L445" i="1"/>
  <c r="L493" i="1"/>
  <c r="L297" i="1"/>
  <c r="L373" i="1"/>
  <c r="L455" i="1"/>
  <c r="L447" i="1"/>
  <c r="L377" i="1"/>
  <c r="L355" i="1"/>
  <c r="L311" i="1"/>
  <c r="L414" i="1"/>
  <c r="L321" i="1"/>
  <c r="L410" i="1"/>
  <c r="L299" i="1"/>
  <c r="L372" i="1"/>
  <c r="L474" i="1"/>
  <c r="L349" i="1"/>
  <c r="L418" i="1"/>
  <c r="L327" i="1"/>
  <c r="L363" i="1"/>
  <c r="L423" i="1"/>
  <c r="L381" i="1"/>
  <c r="L427" i="1"/>
  <c r="L408" i="1"/>
  <c r="L439" i="1"/>
  <c r="L431" i="1"/>
  <c r="L416" i="1"/>
  <c r="L332" i="1"/>
  <c r="L482" i="1"/>
  <c r="L393" i="1"/>
  <c r="L485" i="1"/>
  <c r="L397" i="1"/>
  <c r="L334" i="1"/>
  <c r="L335" i="1"/>
  <c r="L346" i="1"/>
  <c r="L322" i="1"/>
  <c r="L309" i="1"/>
  <c r="L306" i="1"/>
  <c r="L354" i="1"/>
  <c r="L338" i="1"/>
  <c r="L287" i="1"/>
  <c r="L242" i="1"/>
  <c r="L359" i="1"/>
  <c r="L429" i="1"/>
  <c r="L467" i="1"/>
  <c r="L348" i="1"/>
  <c r="L357" i="1"/>
  <c r="L328" i="1"/>
  <c r="L402" i="1"/>
  <c r="L369" i="1"/>
  <c r="L394" i="1"/>
  <c r="L315" i="1"/>
  <c r="L384" i="1"/>
  <c r="L477" i="1"/>
  <c r="L353" i="1"/>
  <c r="L417" i="1"/>
  <c r="L323" i="1"/>
  <c r="L350" i="1"/>
  <c r="L415" i="1"/>
  <c r="L401" i="1"/>
  <c r="L400" i="1"/>
  <c r="L390" i="1"/>
  <c r="L438" i="1"/>
  <c r="L440" i="1"/>
  <c r="L411" i="1"/>
  <c r="L325" i="1"/>
  <c r="L475" i="1"/>
  <c r="L391" i="1"/>
  <c r="L484" i="1"/>
  <c r="L437" i="1"/>
  <c r="L367" i="1"/>
  <c r="L324" i="1"/>
  <c r="L376" i="1"/>
  <c r="L307" i="1"/>
  <c r="L310" i="1"/>
  <c r="L336" i="1"/>
  <c r="L331" i="1"/>
  <c r="L356" i="1"/>
  <c r="L258" i="1"/>
  <c r="L196" i="1"/>
  <c r="L362" i="1"/>
  <c r="L435" i="1"/>
  <c r="L434" i="1"/>
  <c r="L345" i="1"/>
  <c r="L398" i="1"/>
  <c r="L371" i="1"/>
  <c r="L364" i="1"/>
  <c r="L450" i="1"/>
  <c r="L387" i="1"/>
  <c r="L403" i="1"/>
  <c r="L444" i="1"/>
  <c r="L343" i="1"/>
  <c r="L404" i="1"/>
  <c r="L316" i="1"/>
  <c r="L326" i="1"/>
  <c r="L344" i="1"/>
  <c r="L424" i="1"/>
  <c r="L396" i="1"/>
  <c r="L382" i="1"/>
  <c r="L380" i="1"/>
  <c r="L433" i="1"/>
  <c r="L448" i="1"/>
  <c r="L405" i="1"/>
  <c r="L320" i="1"/>
  <c r="L454" i="1"/>
  <c r="L392" i="1"/>
  <c r="L483" i="1"/>
  <c r="L451" i="1"/>
  <c r="L360" i="1"/>
  <c r="L333" i="1"/>
  <c r="L365" i="1"/>
  <c r="L305" i="1"/>
  <c r="L308" i="1"/>
  <c r="L340" i="1"/>
  <c r="L361" i="1"/>
  <c r="L409" i="1"/>
  <c r="L383" i="1"/>
  <c r="L250" i="1"/>
  <c r="L441" i="1"/>
  <c r="L488" i="1"/>
  <c r="L476" i="1"/>
  <c r="L413" i="1"/>
  <c r="L478" i="1"/>
  <c r="L468" i="1"/>
  <c r="L421" i="1"/>
  <c r="L443" i="1"/>
  <c r="L473" i="1"/>
  <c r="L481" i="1"/>
  <c r="L461" i="1"/>
  <c r="L446" i="1"/>
  <c r="L471" i="1"/>
  <c r="L395" i="1"/>
  <c r="L386" i="1"/>
  <c r="L422" i="1"/>
  <c r="L465" i="1"/>
  <c r="L459" i="1"/>
  <c r="L452" i="1"/>
  <c r="L442" i="1"/>
  <c r="L472" i="1"/>
  <c r="L469" i="1"/>
  <c r="L462" i="1"/>
  <c r="L494" i="1"/>
  <c r="L479" i="1"/>
  <c r="L457" i="1"/>
  <c r="L487" i="1"/>
  <c r="L480" i="1"/>
  <c r="L460" i="1"/>
  <c r="L464" i="1"/>
  <c r="L456" i="1"/>
  <c r="L347" i="1"/>
  <c r="L342" i="1"/>
  <c r="L430" i="1"/>
  <c r="L419" i="1"/>
  <c r="L486" i="1"/>
  <c r="L495" i="1"/>
  <c r="L273" i="1"/>
  <c r="E34" i="4"/>
  <c r="B28" i="4"/>
  <c r="E16" i="6"/>
  <c r="E8" i="6"/>
</calcChain>
</file>

<file path=xl/sharedStrings.xml><?xml version="1.0" encoding="utf-8"?>
<sst xmlns="http://schemas.openxmlformats.org/spreadsheetml/2006/main" count="606" uniqueCount="85">
  <si>
    <t>Aguascalientes</t>
  </si>
  <si>
    <t>Baja California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</si>
  <si>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</si>
  <si>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</si>
  <si>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</si>
  <si>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</si>
  <si>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</si>
  <si>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</si>
  <si>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</si>
  <si>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</si>
  <si>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</si>
  <si>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</si>
  <si>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</si>
  <si>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</si>
  <si>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</si>
  <si>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</si>
  <si>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</si>
  <si>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</si>
  <si>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</si>
  <si>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</si>
  <si>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</si>
  <si>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</si>
  <si>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</si>
  <si>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</si>
  <si>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Oficinas Centrales</t>
  </si>
  <si>
    <t>Convive D.F.</t>
  </si>
  <si>
    <t>Issstehuixtla</t>
  </si>
  <si>
    <t>Regional Norte</t>
  </si>
  <si>
    <t>Regional Sur</t>
  </si>
  <si>
    <t>Regional Oriente</t>
  </si>
  <si>
    <t>Regional Poniente</t>
  </si>
  <si>
    <t>Convive Cd. Mex.</t>
  </si>
  <si>
    <t>Baja California. Norte</t>
  </si>
  <si>
    <t>Baja California. Sur</t>
  </si>
  <si>
    <t>Año</t>
  </si>
  <si>
    <t>Oficina Representación</t>
  </si>
  <si>
    <t>Serv. Culturales Derecho Hab Publ</t>
  </si>
  <si>
    <t>Serv. Deportivos Derecho Hab Publ</t>
  </si>
  <si>
    <t>Serv. Sociales Derecho Hab Publ</t>
  </si>
  <si>
    <t>Serv. Funerarios Derecho Hab Publ</t>
  </si>
  <si>
    <t>Serv. Sociales Pensionados Jubl</t>
  </si>
  <si>
    <t>Fome Deportivo Pensionados Jubl</t>
  </si>
  <si>
    <t>Serv. Culturales Pensionados Jubl</t>
  </si>
  <si>
    <t>Soci Comedores Pensionados Jubl</t>
  </si>
  <si>
    <t>Fecha</t>
  </si>
  <si>
    <t>Áreas Centrales</t>
  </si>
  <si>
    <t>México</t>
  </si>
  <si>
    <t>Michoacán</t>
  </si>
  <si>
    <t>Nuevo León</t>
  </si>
  <si>
    <t>Querétaro</t>
  </si>
  <si>
    <t>San Luis Potosí</t>
  </si>
  <si>
    <t>Yucatán</t>
  </si>
  <si>
    <t>Delegación Norte</t>
  </si>
  <si>
    <t>Delegación Sur</t>
  </si>
  <si>
    <t>Delegación Oriente</t>
  </si>
  <si>
    <t>Delegación Poniente</t>
  </si>
  <si>
    <t>Subdelegación. Norte</t>
  </si>
  <si>
    <t>Subdelegación. Sur</t>
  </si>
  <si>
    <t>Subdelegación. Oriente</t>
  </si>
  <si>
    <t>Subdelegación. Poniente</t>
  </si>
  <si>
    <t>Total general</t>
  </si>
  <si>
    <t>Suma de Serv. Deportivos Derecho Hab Publ</t>
  </si>
  <si>
    <t>Suma de Serv. Culturales Derecho Hab Publ</t>
  </si>
  <si>
    <t>Suma de Serv. Sociales Derecho Hab Publ</t>
  </si>
  <si>
    <t>Suma de Serv. Funerarios Derecho Hab Publ</t>
  </si>
  <si>
    <t>Suma de Serv. Sociales Pensionados Jubl</t>
  </si>
  <si>
    <t>Suma de Fome Deportivo Pensionados Jubl</t>
  </si>
  <si>
    <t>Suma de Serv. Culturales Pensionados Jubl</t>
  </si>
  <si>
    <t>Suma de Soci Comedores Pensionados Jubl</t>
  </si>
  <si>
    <t>Suma de todos los Servicios</t>
  </si>
  <si>
    <t>Años</t>
  </si>
  <si>
    <t>Nombre Oficina Representación</t>
  </si>
  <si>
    <t xml:space="preserve">Suma de todos los Servicios </t>
  </si>
  <si>
    <t>Servicios deportivos por año</t>
  </si>
  <si>
    <t>Servicios deportivos a lo largo de los años</t>
  </si>
  <si>
    <t>Comparación entre cultura vs. Deportes vs sociales</t>
  </si>
  <si>
    <t>Comparación clave entre categorías</t>
  </si>
  <si>
    <t>Top 10 delegaciones</t>
  </si>
  <si>
    <t>Ranking de oficinas de representación</t>
  </si>
  <si>
    <t>Etiquetas de fila</t>
  </si>
  <si>
    <t>Suma de Suma de todos los Servicios</t>
  </si>
  <si>
    <t>Total</t>
  </si>
  <si>
    <t>Nombre Servicio</t>
  </si>
  <si>
    <t>Total de cada servicio</t>
  </si>
  <si>
    <t>Suma de Total de cada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</si>
</sst>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[Dashboard.xlsx]Servios deportivos por año!ServiciosDeportivosPorAño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'Servios deportivos por año'!$B$6:$B$7</c:f>
              <c:strCache>
                <c:ptCount val="1"/>
                <c:pt idx="0">
                  <c:v>Hidalgo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'Servios deportivos por año'!$A$8:$A$21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'Servios deportivos por año'!$B$8:$B$21</c:f>
              <c:numCache>
                <c:formatCode>0</c:formatCode>
                <c:ptCount val="13"/>
                <c:pt idx="0">
                  <c:v>79355</c:v>
                </c:pt>
                <c:pt idx="1">
                  <c:v>70442</c:v>
                </c:pt>
                <c:pt idx="2">
                  <c:v>71296</c:v>
                </c:pt>
                <c:pt idx="3">
                  <c:v>0</c:v>
                </c:pt>
                <c:pt idx="4">
                  <c:v>72504</c:v>
                </c:pt>
                <c:pt idx="5">
                  <c:v>72045</c:v>
                </c:pt>
                <c:pt idx="6">
                  <c:v>72759</c:v>
                </c:pt>
                <c:pt idx="7">
                  <c:v>15133</c:v>
                </c:pt>
                <c:pt idx="8">
                  <c:v>884</c:v>
                </c:pt>
                <c:pt idx="9">
                  <c:v>626</c:v>
                </c:pt>
                <c:pt idx="10">
                  <c:v>638</c:v>
                </c:pt>
                <c:pt idx="11">
                  <c:v>756</c:v>
                </c:pt>
                <c:pt idx="12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B-4BA3-A8AE-41CDA87C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515711"/>
        <c:axId val="1025510431"/>
      </c:lineChart>
      <c:catAx>
        <c:axId val="10255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510431"/>
        <c:crosses val="autoZero"/>
        <c:auto val="1"/>
        <c:lblAlgn val="ctr"/>
        <c:lblOffset val="100"/>
        <c:noMultiLvlLbl val="0"/>
      </c:catAx>
      <c:valAx>
        <c:axId val="10255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51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[Dashboard.xlsx]Comp entre cul vs dep vs soc!ComparaciónEntreServiciosCulturalesVsDeportivosVsSociales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 entre cul vs dep vs soc'!$B$6</c:f>
              <c:strCache>
                <c:ptCount val="1"/>
                <c:pt idx="0">
                  <c:v>Suma de Serv. Culturales Derecho Hab Publ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soc'!$B$7</c:f>
              <c:numCache>
                <c:formatCode>0</c:formatCode>
                <c:ptCount val="1"/>
                <c:pt idx="0">
                  <c:v>840418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1-4702-A012-95A6B92AE8D3}"/>
            </c:ext>
          </c:extLst>
        </c:ser>
        <c:ser>
          <c:idx val="1"/>
          <c:order val="1"/>
          <c:tx>
            <c:strRef>
              <c:f>'Comp entre cul vs dep vs soc'!$C$6</c:f>
              <c:strCache>
                <c:ptCount val="1"/>
                <c:pt idx="0">
                  <c:v>Suma de Serv. Deportivos Derecho Hab Publ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soc'!$C$7</c:f>
              <c:numCache>
                <c:formatCode>0</c:formatCode>
                <c:ptCount val="1"/>
                <c:pt idx="0">
                  <c:v>456690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1-4702-A012-95A6B92AE8D3}"/>
            </c:ext>
          </c:extLst>
        </c:ser>
        <c:ser>
          <c:idx val="2"/>
          <c:order val="2"/>
          <c:tx>
            <c:strRef>
              <c:f>'Comp entre cul vs dep vs soc'!$D$6</c:f>
              <c:strCache>
                <c:ptCount val="1"/>
                <c:pt idx="0">
                  <c:v>Suma de Serv. Sociales Derecho Hab Publ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soc'!$D$7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1-4702-A012-95A6B92AE8D3}"/>
            </c:ext>
          </c:extLst>
        </c:ser>
        <c:ser>
          <c:idx val="3"/>
          <c:order val="3"/>
          <c:tx>
            <c:strRef>
              <c:f>'Comp entre cul vs dep vs soc'!$E$6</c:f>
              <c:strCache>
                <c:ptCount val="1"/>
                <c:pt idx="0">
                  <c:v>Suma de Serv. Funerarios Derecho Hab Publ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soc'!$E$7</c:f>
              <c:numCache>
                <c:formatCode>0</c:formatCode>
                <c:ptCount val="1"/>
                <c:pt idx="0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1-4702-A012-95A6B92AE8D3}"/>
            </c:ext>
          </c:extLst>
        </c:ser>
        <c:ser>
          <c:idx val="4"/>
          <c:order val="4"/>
          <c:tx>
            <c:strRef>
              <c:f>'Comp entre cul vs dep vs soc'!$F$6</c:f>
              <c:strCache>
                <c:ptCount val="1"/>
                <c:pt idx="0">
                  <c:v>Suma de Serv. Sociales Pensionados Jubl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soc'!$F$7</c:f>
              <c:numCache>
                <c:formatCode>0</c:formatCode>
                <c:ptCount val="1"/>
                <c:pt idx="0">
                  <c:v>22652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1-4702-A012-95A6B92AE8D3}"/>
            </c:ext>
          </c:extLst>
        </c:ser>
        <c:ser>
          <c:idx val="5"/>
          <c:order val="5"/>
          <c:tx>
            <c:strRef>
              <c:f>'Comp entre cul vs dep vs soc'!$G$6</c:f>
              <c:strCache>
                <c:ptCount val="1"/>
                <c:pt idx="0">
                  <c:v>Suma de Fome Deportivo Pensionados Jubl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soc'!$G$7</c:f>
              <c:numCache>
                <c:formatCode>0</c:formatCode>
                <c:ptCount val="1"/>
                <c:pt idx="0">
                  <c:v>19799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1-4702-A012-95A6B92AE8D3}"/>
            </c:ext>
          </c:extLst>
        </c:ser>
        <c:ser>
          <c:idx val="6"/>
          <c:order val="6"/>
          <c:tx>
            <c:strRef>
              <c:f>'Comp entre cul vs dep vs soc'!$H$6</c:f>
              <c:strCache>
                <c:ptCount val="1"/>
                <c:pt idx="0">
                  <c:v>Suma de Serv. Culturales Pensionados Jubl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soc'!$H$7</c:f>
              <c:numCache>
                <c:formatCode>0</c:formatCode>
                <c:ptCount val="1"/>
                <c:pt idx="0">
                  <c:v>55410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1-4702-A012-95A6B92AE8D3}"/>
            </c:ext>
          </c:extLst>
        </c:ser>
        <c:ser>
          <c:idx val="7"/>
          <c:order val="7"/>
          <c:tx>
            <c:strRef>
              <c:f>'Comp entre cul vs dep vs soc'!$I$6</c:f>
              <c:strCache>
                <c:ptCount val="1"/>
                <c:pt idx="0">
                  <c:v>Suma de Soci Comedores Pensionados Jubl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soc'!$I$7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1-4702-A012-95A6B92AE8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1356127"/>
        <c:axId val="1011351807"/>
      </c:barChart>
      <c:catAx>
        <c:axId val="101135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1351807"/>
        <c:crosses val="autoZero"/>
        <c:auto val="1"/>
        <c:lblAlgn val="ctr"/>
        <c:lblOffset val="100"/>
        <c:noMultiLvlLbl val="0"/>
      </c:catAx>
      <c:valAx>
        <c:axId val="101135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135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de delegaciones!RankingDeDelegaciones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'Ranking de delegaciones'!$B$9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5F-4888-AF57-DC71DDD60C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5F-4888-AF57-DC71DDD60C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5F-4888-AF57-DC71DDD60C9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5F-4888-AF57-DC71DDD60C9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5F-4888-AF57-DC71DDD60C9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A5F-4888-AF57-DC71DDD60C9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5F-4888-AF57-DC71DDD60C9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A5F-4888-AF57-DC71DDD60C9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A5F-4888-AF57-DC71DDD60C9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1B-4985-B6B8-38262CCA8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de delegaciones'!$A$10:$A$20</c:f>
              <c:strCache>
                <c:ptCount val="10"/>
                <c:pt idx="0">
                  <c:v>Nuevo León</c:v>
                </c:pt>
                <c:pt idx="1">
                  <c:v>Coahuila</c:v>
                </c:pt>
                <c:pt idx="2">
                  <c:v>Hidalgo</c:v>
                </c:pt>
                <c:pt idx="3">
                  <c:v>Yucatán</c:v>
                </c:pt>
                <c:pt idx="4">
                  <c:v>Zacatecas</c:v>
                </c:pt>
                <c:pt idx="5">
                  <c:v>México</c:v>
                </c:pt>
                <c:pt idx="6">
                  <c:v>San Luis Potosí</c:v>
                </c:pt>
                <c:pt idx="7">
                  <c:v>Oaxaca</c:v>
                </c:pt>
                <c:pt idx="8">
                  <c:v>Áreas Centrales</c:v>
                </c:pt>
                <c:pt idx="9">
                  <c:v>Oficinas Centrales</c:v>
                </c:pt>
              </c:strCache>
            </c:strRef>
          </c:cat>
          <c:val>
            <c:numRef>
              <c:f>'Ranking de delegaciones'!$B$10:$B$20</c:f>
              <c:numCache>
                <c:formatCode>0</c:formatCode>
                <c:ptCount val="10"/>
                <c:pt idx="0">
                  <c:v>1151362</c:v>
                </c:pt>
                <c:pt idx="1">
                  <c:v>1329318</c:v>
                </c:pt>
                <c:pt idx="2">
                  <c:v>1396246</c:v>
                </c:pt>
                <c:pt idx="3">
                  <c:v>1544155</c:v>
                </c:pt>
                <c:pt idx="4">
                  <c:v>1700361</c:v>
                </c:pt>
                <c:pt idx="5">
                  <c:v>1853200</c:v>
                </c:pt>
                <c:pt idx="6">
                  <c:v>2141268</c:v>
                </c:pt>
                <c:pt idx="7">
                  <c:v>2824608</c:v>
                </c:pt>
                <c:pt idx="8">
                  <c:v>2908515</c:v>
                </c:pt>
                <c:pt idx="9">
                  <c:v>12806883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B-4985-B6B8-38262CCA89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5971759"/>
        <c:axId val="1015986159"/>
      </c:barChart>
      <c:catAx>
        <c:axId val="101597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5986159"/>
        <c:crosses val="autoZero"/>
        <c:auto val="1"/>
        <c:lblAlgn val="ctr"/>
        <c:lblOffset val="100"/>
        <c:noMultiLvlLbl val="0"/>
      </c:catAx>
      <c:valAx>
        <c:axId val="1015986159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1597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[Dashboard.xlsx]Ranking de Servicios!TablaDinámica1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'Ranking de Servicios'!$B$7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>
                  <a:glow rad="127000">
                    <a:schemeClr val="bg2">
                      <a:lumMod val="90000"/>
                    </a:schemeClr>
                  </a:glow>
                </a:effectLst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'Ranking de Servicios'!$A$8:$A$16</c:f>
              <c:strCache>
                <c:ptCount val="8"/>
                <c:pt idx="0">
                  <c:v>Serv. Culturales Derecho Hab Publ</c:v>
                </c:pt>
                <c:pt idx="1">
                  <c:v>Serv. Deportivos Derecho Hab Publ</c:v>
                </c:pt>
                <c:pt idx="2">
                  <c:v>Serv. Culturales Pensionados Jubl</c:v>
                </c:pt>
                <c:pt idx="3">
                  <c:v>Serv. Sociales Pensionados Jubl</c:v>
                </c:pt>
                <c:pt idx="4">
                  <c:v>Fome Deportivo Pensionados Jubl</c:v>
                </c:pt>
                <c:pt idx="5">
                  <c:v>Serv. Sociales Derecho Hab Publ</c:v>
                </c:pt>
                <c:pt idx="6">
                  <c:v>Soci Comedores Pensionados Jubl</c:v>
                </c:pt>
                <c:pt idx="7">
                  <c:v>Serv. Funerarios Derecho Hab Publ</c:v>
                </c:pt>
              </c:strCache>
            </c:strRef>
          </c:cat>
          <c:val>
            <c:numRef>
              <c:f>'Ranking de Servicios'!$B$8:$B$16</c:f>
              <c:numCache>
                <c:formatCode>0</c:formatCode>
                <c:ptCount val="8"/>
                <c:pt idx="0">
                  <c:v>36375442</c:v>
                </c:pt>
                <c:pt idx="1">
                  <c:v>11512451</c:v>
                </c:pt>
                <c:pt idx="2">
                  <c:v>3250887</c:v>
                </c:pt>
                <c:pt idx="3">
                  <c:v>2175717</c:v>
                </c:pt>
                <c:pt idx="4">
                  <c:v>1962313</c:v>
                </c:pt>
                <c:pt idx="5">
                  <c:v>661401</c:v>
                </c:pt>
                <c:pt idx="6">
                  <c:v>654994</c:v>
                </c:pt>
                <c:pt idx="7">
                  <c:v>322484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C-4B01-8954-9AA576FB6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34290</xdr:rowOff>
    </xdr:from>
    <xdr:to>
      <xdr:col>16</xdr:col>
      <xdr:colOff>548640</xdr:colOff>
      <xdr:row>52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291C6E-805F-268A-716E-C10665D67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746760</xdr:colOff>
      <xdr:row>0</xdr:row>
      <xdr:rowOff>99060</xdr:rowOff>
    </xdr:from>
    <xdr:to>
      <xdr:col>13</xdr:col>
      <xdr:colOff>929640</xdr:colOff>
      <xdr:row>4</xdr:row>
      <xdr:rowOff>22860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5C2AE0A-8499-8982-6714-81B27ABAD1E0}"/>
            </a:ext>
          </a:extLst>
        </xdr:cNvPr>
        <xdr:cNvSpPr/>
      </xdr:nvSpPr>
      <xdr:spPr>
        <a:xfrm>
          <a:off x="6416040" y="99060"/>
          <a:ext cx="8351520" cy="83058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579120</xdr:colOff>
      <xdr:row>0</xdr:row>
      <xdr:rowOff>99060</xdr:rowOff>
    </xdr:from>
    <xdr:to>
      <xdr:col>13</xdr:col>
      <xdr:colOff>975360</xdr:colOff>
      <xdr:row>3</xdr:row>
      <xdr:rowOff>106680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0E29073-38BE-6C9A-1AFB-17B1E53C1489}"/>
            </a:ext>
          </a:extLst>
        </xdr:cNvPr>
        <xdr:cNvSpPr txBox="1"/>
      </xdr:nvSpPr>
      <xdr:spPr>
        <a:xfrm>
          <a:off x="7147560" y="99060"/>
          <a:ext cx="766572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El servicio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deportivo en Hidalgo a lo largo de los años 2013 al 2025 han tenido un decremento con el paso de los años, teniendo el más bajo en 2016 con 0 servicios deportivos. Se estima que para el año 2026 la suma de los servicios deportivos sigan disminuyendo.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762000</xdr:colOff>
      <xdr:row>0</xdr:row>
      <xdr:rowOff>83820</xdr:rowOff>
    </xdr:from>
    <xdr:to>
      <xdr:col>4</xdr:col>
      <xdr:colOff>1226820</xdr:colOff>
      <xdr:row>1</xdr:row>
      <xdr:rowOff>281940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A35CBEE-A416-7155-3326-58173C8216EE}"/>
            </a:ext>
          </a:extLst>
        </xdr:cNvPr>
        <xdr:cNvSpPr txBox="1"/>
      </xdr:nvSpPr>
      <xdr:spPr>
        <a:xfrm>
          <a:off x="6431280" y="8382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175260</xdr:rowOff>
    </xdr:from>
    <xdr:to>
      <xdr:col>6</xdr:col>
      <xdr:colOff>0</xdr:colOff>
      <xdr:row>92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B22A72-EF5D-817C-7019-683A55FB8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426720</xdr:colOff>
      <xdr:row>0</xdr:row>
      <xdr:rowOff>91440</xdr:rowOff>
    </xdr:from>
    <xdr:to>
      <xdr:col>5</xdr:col>
      <xdr:colOff>1706880</xdr:colOff>
      <xdr:row>4</xdr:row>
      <xdr:rowOff>15240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655E71A1-17A4-4D8F-A77F-5AAF8D5F3784}"/>
            </a:ext>
          </a:extLst>
        </xdr:cNvPr>
        <xdr:cNvSpPr/>
      </xdr:nvSpPr>
      <xdr:spPr>
        <a:xfrm>
          <a:off x="7734300" y="91440"/>
          <a:ext cx="6370320" cy="83058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1203960</xdr:colOff>
      <xdr:row>0</xdr:row>
      <xdr:rowOff>106680</xdr:rowOff>
    </xdr:from>
    <xdr:to>
      <xdr:col>5</xdr:col>
      <xdr:colOff>1805940</xdr:colOff>
      <xdr:row>3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A9AEA19-33C4-4D57-AA60-CD0AE3EA7D91}"/>
            </a:ext>
          </a:extLst>
        </xdr:cNvPr>
        <xdr:cNvSpPr txBox="1"/>
      </xdr:nvSpPr>
      <xdr:spPr>
        <a:xfrm>
          <a:off x="8511540" y="106680"/>
          <a:ext cx="569214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La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compración entre los diferentes tipos de servicios del estado de Hidalgo nos muestra que el servicio social de comedores para pensionados/jubilados es el más bajo de todos con 0 registrados.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441960</xdr:colOff>
      <xdr:row>0</xdr:row>
      <xdr:rowOff>76200</xdr:rowOff>
    </xdr:from>
    <xdr:to>
      <xdr:col>3</xdr:col>
      <xdr:colOff>1805940</xdr:colOff>
      <xdr:row>1</xdr:row>
      <xdr:rowOff>274320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B8D5D28-C707-49C5-964C-6C684CAAF810}"/>
            </a:ext>
          </a:extLst>
        </xdr:cNvPr>
        <xdr:cNvSpPr txBox="1"/>
      </xdr:nvSpPr>
      <xdr:spPr>
        <a:xfrm>
          <a:off x="7749540" y="7620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7</xdr:row>
      <xdr:rowOff>171450</xdr:rowOff>
    </xdr:from>
    <xdr:to>
      <xdr:col>11</xdr:col>
      <xdr:colOff>1226820</xdr:colOff>
      <xdr:row>28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A4C4AB-307E-AF15-A2F4-5AF30B311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0</xdr:row>
      <xdr:rowOff>106680</xdr:rowOff>
    </xdr:from>
    <xdr:to>
      <xdr:col>13</xdr:col>
      <xdr:colOff>434340</xdr:colOff>
      <xdr:row>3</xdr:row>
      <xdr:rowOff>121920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FDF5C50-1C48-442A-8220-672637B18930}"/>
            </a:ext>
          </a:extLst>
        </xdr:cNvPr>
        <xdr:cNvSpPr/>
      </xdr:nvSpPr>
      <xdr:spPr>
        <a:xfrm>
          <a:off x="8069580" y="106680"/>
          <a:ext cx="6263640" cy="73914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472440</xdr:colOff>
      <xdr:row>0</xdr:row>
      <xdr:rowOff>91440</xdr:rowOff>
    </xdr:from>
    <xdr:to>
      <xdr:col>8</xdr:col>
      <xdr:colOff>762000</xdr:colOff>
      <xdr:row>1</xdr:row>
      <xdr:rowOff>289560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2FD47C3-A102-4F6F-B705-59C29EA815CA}"/>
            </a:ext>
          </a:extLst>
        </xdr:cNvPr>
        <xdr:cNvSpPr txBox="1"/>
      </xdr:nvSpPr>
      <xdr:spPr>
        <a:xfrm>
          <a:off x="8107680" y="9144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  <xdr:twoCellAnchor>
    <xdr:from>
      <xdr:col>8</xdr:col>
      <xdr:colOff>190500</xdr:colOff>
      <xdr:row>0</xdr:row>
      <xdr:rowOff>114300</xdr:rowOff>
    </xdr:from>
    <xdr:to>
      <xdr:col>13</xdr:col>
      <xdr:colOff>533400</xdr:colOff>
      <xdr:row>3</xdr:row>
      <xdr:rowOff>121920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F8AF2AD-9BF3-4E59-AFAC-FC52C1A28676}"/>
            </a:ext>
          </a:extLst>
        </xdr:cNvPr>
        <xdr:cNvSpPr txBox="1"/>
      </xdr:nvSpPr>
      <xdr:spPr>
        <a:xfrm>
          <a:off x="8900160" y="114300"/>
          <a:ext cx="553212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El ranking de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las oficinas de representación no muestra que el estado de Hidalgo se encuentre la 8 posición apesar que algunos de los servición sociales aparece con 0 registros.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12</xdr:row>
      <xdr:rowOff>11430</xdr:rowOff>
    </xdr:from>
    <xdr:to>
      <xdr:col>5</xdr:col>
      <xdr:colOff>2415540</xdr:colOff>
      <xdr:row>37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D90A1A-D24F-D04B-3C4B-2BAD344D5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754380</xdr:colOff>
      <xdr:row>1</xdr:row>
      <xdr:rowOff>121920</xdr:rowOff>
    </xdr:from>
    <xdr:to>
      <xdr:col>7</xdr:col>
      <xdr:colOff>91440</xdr:colOff>
      <xdr:row>7</xdr:row>
      <xdr:rowOff>114300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455E126-35E3-64B0-74EF-9539C250CDF3}"/>
            </a:ext>
          </a:extLst>
        </xdr:cNvPr>
        <xdr:cNvSpPr/>
      </xdr:nvSpPr>
      <xdr:spPr>
        <a:xfrm>
          <a:off x="1546860" y="304800"/>
          <a:ext cx="4091940" cy="10896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22860</xdr:colOff>
      <xdr:row>2</xdr:row>
      <xdr:rowOff>53340</xdr:rowOff>
    </xdr:from>
    <xdr:to>
      <xdr:col>7</xdr:col>
      <xdr:colOff>15240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AA9D155-B202-BE03-C121-3275AB0BBA20}"/>
            </a:ext>
          </a:extLst>
        </xdr:cNvPr>
        <xdr:cNvSpPr txBox="1"/>
      </xdr:nvSpPr>
      <xdr:spPr>
        <a:xfrm>
          <a:off x="1607820" y="419100"/>
          <a:ext cx="395478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latin typeface="Arial" panose="020B0604020202020204" pitchFamily="34" charset="0"/>
              <a:cs typeface="Arial" panose="020B0604020202020204" pitchFamily="34" charset="0"/>
            </a:rPr>
            <a:t>Delegación con más servicios</a:t>
          </a:r>
        </a:p>
      </xdr:txBody>
    </xdr:sp>
    <xdr:clientData/>
  </xdr:twoCellAnchor>
  <xdr:twoCellAnchor>
    <xdr:from>
      <xdr:col>1</xdr:col>
      <xdr:colOff>784860</xdr:colOff>
      <xdr:row>10</xdr:row>
      <xdr:rowOff>121920</xdr:rowOff>
    </xdr:from>
    <xdr:to>
      <xdr:col>7</xdr:col>
      <xdr:colOff>121920</xdr:colOff>
      <xdr:row>16</xdr:row>
      <xdr:rowOff>114300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472A16AD-55BB-45DA-B3A6-1E291DE2AB5A}"/>
            </a:ext>
          </a:extLst>
        </xdr:cNvPr>
        <xdr:cNvSpPr/>
      </xdr:nvSpPr>
      <xdr:spPr>
        <a:xfrm>
          <a:off x="1577340" y="1950720"/>
          <a:ext cx="4091940" cy="10896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53340</xdr:colOff>
      <xdr:row>11</xdr:row>
      <xdr:rowOff>53340</xdr:rowOff>
    </xdr:from>
    <xdr:to>
      <xdr:col>7</xdr:col>
      <xdr:colOff>45720</xdr:colOff>
      <xdr:row>13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BC9A43E-8C39-4160-91BE-E1BC51F6A885}"/>
            </a:ext>
          </a:extLst>
        </xdr:cNvPr>
        <xdr:cNvSpPr txBox="1"/>
      </xdr:nvSpPr>
      <xdr:spPr>
        <a:xfrm>
          <a:off x="1638300" y="2065020"/>
          <a:ext cx="395478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latin typeface="Arial" panose="020B0604020202020204" pitchFamily="34" charset="0"/>
              <a:cs typeface="Arial" panose="020B0604020202020204" pitchFamily="34" charset="0"/>
            </a:rPr>
            <a:t>Delegación con menos servicios</a:t>
          </a:r>
        </a:p>
      </xdr:txBody>
    </xdr:sp>
    <xdr:clientData/>
  </xdr:twoCellAnchor>
  <xdr:twoCellAnchor>
    <xdr:from>
      <xdr:col>4</xdr:col>
      <xdr:colOff>655320</xdr:colOff>
      <xdr:row>13</xdr:row>
      <xdr:rowOff>53340</xdr:rowOff>
    </xdr:from>
    <xdr:to>
      <xdr:col>7</xdr:col>
      <xdr:colOff>45720</xdr:colOff>
      <xdr:row>16</xdr:row>
      <xdr:rowOff>7620</xdr:rowOff>
    </xdr:to>
    <xdr:sp macro="" textlink="'Ranking de delegaciones'!E34">
      <xdr:nvSpPr>
        <xdr:cNvPr id="9" name="CuadroTexto 8">
          <a:extLst>
            <a:ext uri="{FF2B5EF4-FFF2-40B4-BE49-F238E27FC236}">
              <a16:creationId xmlns:a16="http://schemas.microsoft.com/office/drawing/2014/main" id="{681F35E1-A3F3-41BB-85EA-CE8349ED9BF9}"/>
            </a:ext>
          </a:extLst>
        </xdr:cNvPr>
        <xdr:cNvSpPr txBox="1"/>
      </xdr:nvSpPr>
      <xdr:spPr>
        <a:xfrm>
          <a:off x="3825240" y="2430780"/>
          <a:ext cx="176784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D357D03-2B5F-443E-87A0-7A65FB514219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55249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7620</xdr:colOff>
      <xdr:row>1</xdr:row>
      <xdr:rowOff>83820</xdr:rowOff>
    </xdr:from>
    <xdr:to>
      <xdr:col>13</xdr:col>
      <xdr:colOff>137160</xdr:colOff>
      <xdr:row>7</xdr:row>
      <xdr:rowOff>76200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99702E67-9B5D-4EC1-ACBD-98618394CDBD}"/>
            </a:ext>
          </a:extLst>
        </xdr:cNvPr>
        <xdr:cNvSpPr/>
      </xdr:nvSpPr>
      <xdr:spPr>
        <a:xfrm>
          <a:off x="6347460" y="266700"/>
          <a:ext cx="4091940" cy="10896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68580</xdr:colOff>
      <xdr:row>2</xdr:row>
      <xdr:rowOff>15240</xdr:rowOff>
    </xdr:from>
    <xdr:to>
      <xdr:col>13</xdr:col>
      <xdr:colOff>60960</xdr:colOff>
      <xdr:row>3</xdr:row>
      <xdr:rowOff>144780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FC6A63D-09D9-4DDC-8482-A90863D715CD}"/>
            </a:ext>
          </a:extLst>
        </xdr:cNvPr>
        <xdr:cNvSpPr txBox="1"/>
      </xdr:nvSpPr>
      <xdr:spPr>
        <a:xfrm>
          <a:off x="6408420" y="381000"/>
          <a:ext cx="395478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latin typeface="Arial" panose="020B0604020202020204" pitchFamily="34" charset="0"/>
              <a:cs typeface="Arial" panose="020B0604020202020204" pitchFamily="34" charset="0"/>
            </a:rPr>
            <a:t>Servicio</a:t>
          </a:r>
          <a:r>
            <a:rPr lang="es-MX" sz="1800" b="1" baseline="0">
              <a:latin typeface="Arial" panose="020B0604020202020204" pitchFamily="34" charset="0"/>
              <a:cs typeface="Arial" panose="020B0604020202020204" pitchFamily="34" charset="0"/>
            </a:rPr>
            <a:t> más solicitado</a:t>
          </a:r>
          <a:endParaRPr lang="es-MX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739140</xdr:colOff>
      <xdr:row>10</xdr:row>
      <xdr:rowOff>68580</xdr:rowOff>
    </xdr:from>
    <xdr:to>
      <xdr:col>13</xdr:col>
      <xdr:colOff>76200</xdr:colOff>
      <xdr:row>16</xdr:row>
      <xdr:rowOff>60960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EC0248D-EB84-4C8B-85BD-ABCA7218BE6A}"/>
            </a:ext>
          </a:extLst>
        </xdr:cNvPr>
        <xdr:cNvSpPr/>
      </xdr:nvSpPr>
      <xdr:spPr>
        <a:xfrm>
          <a:off x="6286500" y="1897380"/>
          <a:ext cx="4091940" cy="10896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7620</xdr:colOff>
      <xdr:row>11</xdr:row>
      <xdr:rowOff>0</xdr:rowOff>
    </xdr:from>
    <xdr:to>
      <xdr:col>13</xdr:col>
      <xdr:colOff>0</xdr:colOff>
      <xdr:row>12</xdr:row>
      <xdr:rowOff>129540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6C36264-CCDF-4096-B3CD-236649DDDB55}"/>
            </a:ext>
          </a:extLst>
        </xdr:cNvPr>
        <xdr:cNvSpPr txBox="1"/>
      </xdr:nvSpPr>
      <xdr:spPr>
        <a:xfrm>
          <a:off x="6347460" y="2011680"/>
          <a:ext cx="395478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s-MX" sz="1800" b="1" baseline="0">
              <a:latin typeface="Arial" panose="020B0604020202020204" pitchFamily="34" charset="0"/>
              <a:cs typeface="Arial" panose="020B0604020202020204" pitchFamily="34" charset="0"/>
            </a:rPr>
            <a:t> de servicios</a:t>
          </a:r>
          <a:endParaRPr lang="es-MX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121920</xdr:colOff>
      <xdr:row>12</xdr:row>
      <xdr:rowOff>175260</xdr:rowOff>
    </xdr:from>
    <xdr:to>
      <xdr:col>11</xdr:col>
      <xdr:colOff>640080</xdr:colOff>
      <xdr:row>15</xdr:row>
      <xdr:rowOff>129540</xdr:rowOff>
    </xdr:to>
    <xdr:sp macro="" textlink="'Ranking de Servicios'!E16">
      <xdr:nvSpPr>
        <xdr:cNvPr id="15" name="CuadroTexto 14">
          <a:extLst>
            <a:ext uri="{FF2B5EF4-FFF2-40B4-BE49-F238E27FC236}">
              <a16:creationId xmlns:a16="http://schemas.microsoft.com/office/drawing/2014/main" id="{680396CA-F071-40FB-A229-3E21C5E9ED9D}"/>
            </a:ext>
          </a:extLst>
        </xdr:cNvPr>
        <xdr:cNvSpPr txBox="1"/>
      </xdr:nvSpPr>
      <xdr:spPr>
        <a:xfrm>
          <a:off x="7254240" y="2369820"/>
          <a:ext cx="210312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561CD5-4F8D-4C7E-B681-88707DD3FB18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56915689</a:t>
          </a:fld>
          <a:endParaRPr lang="es-MX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38100</xdr:colOff>
      <xdr:row>13</xdr:row>
      <xdr:rowOff>53340</xdr:rowOff>
    </xdr:from>
    <xdr:to>
      <xdr:col>4</xdr:col>
      <xdr:colOff>342900</xdr:colOff>
      <xdr:row>16</xdr:row>
      <xdr:rowOff>7620</xdr:rowOff>
    </xdr:to>
    <xdr:sp macro="" textlink="'Ranking de delegaciones'!D34">
      <xdr:nvSpPr>
        <xdr:cNvPr id="16" name="CuadroTexto 15">
          <a:extLst>
            <a:ext uri="{FF2B5EF4-FFF2-40B4-BE49-F238E27FC236}">
              <a16:creationId xmlns:a16="http://schemas.microsoft.com/office/drawing/2014/main" id="{218B5F3B-AF3B-4B0A-899D-9E0BF4329C2E}"/>
            </a:ext>
          </a:extLst>
        </xdr:cNvPr>
        <xdr:cNvSpPr txBox="1"/>
      </xdr:nvSpPr>
      <xdr:spPr>
        <a:xfrm>
          <a:off x="1623060" y="2430780"/>
          <a:ext cx="188976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7289592-5ED0-463A-8B4B-5C77C9640804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Regional Oriente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624840</xdr:colOff>
      <xdr:row>4</xdr:row>
      <xdr:rowOff>38100</xdr:rowOff>
    </xdr:from>
    <xdr:to>
      <xdr:col>7</xdr:col>
      <xdr:colOff>15240</xdr:colOff>
      <xdr:row>6</xdr:row>
      <xdr:rowOff>175260</xdr:rowOff>
    </xdr:to>
    <xdr:sp macro="" textlink="'Ranking de delegaciones'!B28">
      <xdr:nvSpPr>
        <xdr:cNvPr id="17" name="CuadroTexto 16">
          <a:extLst>
            <a:ext uri="{FF2B5EF4-FFF2-40B4-BE49-F238E27FC236}">
              <a16:creationId xmlns:a16="http://schemas.microsoft.com/office/drawing/2014/main" id="{0618113B-8F2D-4DE1-B08E-EC156AA89D47}"/>
            </a:ext>
          </a:extLst>
        </xdr:cNvPr>
        <xdr:cNvSpPr txBox="1"/>
      </xdr:nvSpPr>
      <xdr:spPr>
        <a:xfrm>
          <a:off x="3794760" y="769620"/>
          <a:ext cx="176784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E00774-0124-44E7-BA7E-4D5884A39B98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12806883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15240</xdr:colOff>
      <xdr:row>4</xdr:row>
      <xdr:rowOff>38100</xdr:rowOff>
    </xdr:from>
    <xdr:to>
      <xdr:col>4</xdr:col>
      <xdr:colOff>320040</xdr:colOff>
      <xdr:row>6</xdr:row>
      <xdr:rowOff>175260</xdr:rowOff>
    </xdr:to>
    <xdr:sp macro="" textlink="'Ranking de delegaciones'!A28">
      <xdr:nvSpPr>
        <xdr:cNvPr id="18" name="CuadroTexto 17">
          <a:extLst>
            <a:ext uri="{FF2B5EF4-FFF2-40B4-BE49-F238E27FC236}">
              <a16:creationId xmlns:a16="http://schemas.microsoft.com/office/drawing/2014/main" id="{77278733-4FDC-4438-88ED-B9510EAF48FF}"/>
            </a:ext>
          </a:extLst>
        </xdr:cNvPr>
        <xdr:cNvSpPr txBox="1"/>
      </xdr:nvSpPr>
      <xdr:spPr>
        <a:xfrm>
          <a:off x="1600200" y="769620"/>
          <a:ext cx="188976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02BAB72-648C-40A5-8F51-EC6F8C7E9110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Oficinas Centrales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662940</xdr:colOff>
      <xdr:row>4</xdr:row>
      <xdr:rowOff>0</xdr:rowOff>
    </xdr:from>
    <xdr:to>
      <xdr:col>13</xdr:col>
      <xdr:colOff>53340</xdr:colOff>
      <xdr:row>6</xdr:row>
      <xdr:rowOff>137160</xdr:rowOff>
    </xdr:to>
    <xdr:sp macro="" textlink="'Ranking de Servicios'!E8">
      <xdr:nvSpPr>
        <xdr:cNvPr id="3" name="CuadroTexto 2">
          <a:extLst>
            <a:ext uri="{FF2B5EF4-FFF2-40B4-BE49-F238E27FC236}">
              <a16:creationId xmlns:a16="http://schemas.microsoft.com/office/drawing/2014/main" id="{0D5DACA7-4763-422B-A40A-08AD48FAA136}"/>
            </a:ext>
          </a:extLst>
        </xdr:cNvPr>
        <xdr:cNvSpPr txBox="1"/>
      </xdr:nvSpPr>
      <xdr:spPr>
        <a:xfrm>
          <a:off x="8587740" y="731520"/>
          <a:ext cx="176784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F2905A7-DF8B-43B9-9F6F-A1049135B0A5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36375442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76200</xdr:colOff>
      <xdr:row>4</xdr:row>
      <xdr:rowOff>0</xdr:rowOff>
    </xdr:from>
    <xdr:to>
      <xdr:col>10</xdr:col>
      <xdr:colOff>381000</xdr:colOff>
      <xdr:row>6</xdr:row>
      <xdr:rowOff>137160</xdr:rowOff>
    </xdr:to>
    <xdr:sp macro="" textlink="'Ranking de Servicios'!D8">
      <xdr:nvSpPr>
        <xdr:cNvPr id="4" name="CuadroTexto 3">
          <a:extLst>
            <a:ext uri="{FF2B5EF4-FFF2-40B4-BE49-F238E27FC236}">
              <a16:creationId xmlns:a16="http://schemas.microsoft.com/office/drawing/2014/main" id="{1913509C-FE01-4796-8E19-5C453600F5ED}"/>
            </a:ext>
          </a:extLst>
        </xdr:cNvPr>
        <xdr:cNvSpPr txBox="1"/>
      </xdr:nvSpPr>
      <xdr:spPr>
        <a:xfrm>
          <a:off x="6416040" y="731520"/>
          <a:ext cx="188976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06645CA-79C5-4D31-B82D-489E6831CDAC}" type="TxLink"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rPr>
            <a:pPr algn="ctr"/>
            <a:t>Serv. Culturales Derecho Hab Publ</a:t>
          </a:fld>
          <a:endParaRPr lang="es-MX" sz="1400" b="1">
            <a:latin typeface="Arial" panose="020B0604020202020204" pitchFamily="34" charset="0"/>
            <a:ea typeface="Tahom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289560</xdr:colOff>
      <xdr:row>4</xdr:row>
      <xdr:rowOff>68580</xdr:rowOff>
    </xdr:from>
    <xdr:to>
      <xdr:col>11</xdr:col>
      <xdr:colOff>175260</xdr:colOff>
      <xdr:row>6</xdr:row>
      <xdr:rowOff>83820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D088F506-F6BE-ABE0-2CA3-FF5C384A37AA}"/>
            </a:ext>
          </a:extLst>
        </xdr:cNvPr>
        <xdr:cNvSpPr txBox="1"/>
      </xdr:nvSpPr>
      <xdr:spPr>
        <a:xfrm>
          <a:off x="8214360" y="800100"/>
          <a:ext cx="67818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latin typeface="Arial" panose="020B0604020202020204" pitchFamily="34" charset="0"/>
              <a:cs typeface="Arial" panose="020B0604020202020204" pitchFamily="34" charset="0"/>
            </a:rPr>
            <a:t>con</a:t>
          </a:r>
        </a:p>
      </xdr:txBody>
    </xdr:sp>
    <xdr:clientData/>
  </xdr:twoCellAnchor>
  <xdr:twoCellAnchor>
    <xdr:from>
      <xdr:col>4</xdr:col>
      <xdr:colOff>213360</xdr:colOff>
      <xdr:row>4</xdr:row>
      <xdr:rowOff>83820</xdr:rowOff>
    </xdr:from>
    <xdr:to>
      <xdr:col>5</xdr:col>
      <xdr:colOff>99060</xdr:colOff>
      <xdr:row>6</xdr:row>
      <xdr:rowOff>99060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9C074E2-799A-4044-AA88-C4E3A7151771}"/>
            </a:ext>
          </a:extLst>
        </xdr:cNvPr>
        <xdr:cNvSpPr txBox="1"/>
      </xdr:nvSpPr>
      <xdr:spPr>
        <a:xfrm>
          <a:off x="3383280" y="815340"/>
          <a:ext cx="67818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latin typeface="Arial" panose="020B0604020202020204" pitchFamily="34" charset="0"/>
              <a:cs typeface="Arial" panose="020B0604020202020204" pitchFamily="34" charset="0"/>
            </a:rPr>
            <a:t>con</a:t>
          </a:r>
        </a:p>
      </xdr:txBody>
    </xdr:sp>
    <xdr:clientData/>
  </xdr:twoCellAnchor>
  <xdr:twoCellAnchor>
    <xdr:from>
      <xdr:col>4</xdr:col>
      <xdr:colOff>220980</xdr:colOff>
      <xdr:row>13</xdr:row>
      <xdr:rowOff>114300</xdr:rowOff>
    </xdr:from>
    <xdr:to>
      <xdr:col>5</xdr:col>
      <xdr:colOff>106680</xdr:colOff>
      <xdr:row>15</xdr:row>
      <xdr:rowOff>129540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BC9B4B8-B026-4F57-904A-9A3BB13F899B}"/>
            </a:ext>
          </a:extLst>
        </xdr:cNvPr>
        <xdr:cNvSpPr txBox="1"/>
      </xdr:nvSpPr>
      <xdr:spPr>
        <a:xfrm>
          <a:off x="3390900" y="2491740"/>
          <a:ext cx="67818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latin typeface="Arial" panose="020B0604020202020204" pitchFamily="34" charset="0"/>
              <a:cs typeface="Arial" panose="020B0604020202020204" pitchFamily="34" charset="0"/>
            </a:rPr>
            <a:t>con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Mariano" refreshedDate="45980.47015335648" createdVersion="8" refreshedVersion="8" minRefreshableVersion="3" recordCount="494" xr:uid="{45697F6F-B6C1-4FB2-A6B4-D0194C73A538}">
  <cacheSource type="worksheet">
    <worksheetSource name="Tabla1"/>
  </cacheSource>
  <cacheFields count="12">
    <cacheField name="Año" numFmtId="1">
      <sharedItems containsSemiMixedTypes="0" containsString="0" containsNumber="1" containsInteger="1" minValue="2013" maxValue="2025" count="13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Oficina Representación" numFmtId="0">
      <sharedItems count="49">
        <s v="Aguascalientes"/>
        <s v="Baja California"/>
        <s v="Baja California. Sur"/>
        <s v="Campeche"/>
        <s v="Coahuila"/>
        <s v="Colima"/>
        <s v="Chiapas"/>
        <s v="Chihuahua"/>
        <s v="Durango"/>
        <s v="Guanajuato"/>
        <s v="Guerrero"/>
        <s v="Hidalgo"/>
        <s v="Jalisco"/>
        <s v="México"/>
        <s v="Michoacán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"/>
        <s v="Yucatán"/>
        <s v="Zacatecas"/>
        <s v="Subdelegación. Norte"/>
        <s v="Subdelegación. Sur"/>
        <s v="Subdelegación. Oriente"/>
        <s v="Subdelegación. Poniente"/>
        <s v="Oficinas Centrales"/>
        <s v="Convive D.F."/>
        <s v="Issstehuixtla"/>
        <s v="Áreas Centrales"/>
        <s v="Baja California. Norte"/>
        <s v="Regional Norte"/>
        <s v="Regional Sur"/>
        <s v="Regional Oriente"/>
        <s v="Regional Poniente"/>
        <s v="Convive Cd. Mex."/>
        <s v="Delegación Norte"/>
        <s v="Delegación Sur"/>
        <s v="Delegación Oriente"/>
        <s v="Delegación Poniente"/>
      </sharedItems>
    </cacheField>
    <cacheField name="Serv. Culturales Derecho Hab Publ" numFmtId="1">
      <sharedItems containsSemiMixedTypes="0" containsString="0" containsNumber="1" containsInteger="1" minValue="0" maxValue="4458940" count="441">
        <n v="38316"/>
        <n v="63172"/>
        <n v="22917"/>
        <n v="85376"/>
        <n v="65886"/>
        <n v="75766"/>
        <n v="92979"/>
        <n v="39497"/>
        <n v="88495"/>
        <n v="100270"/>
        <n v="41618"/>
        <n v="111194"/>
        <n v="43939"/>
        <n v="81763"/>
        <n v="19086"/>
        <n v="144600"/>
        <n v="88738"/>
        <n v="133369"/>
        <n v="273717"/>
        <n v="12395"/>
        <n v="34708"/>
        <n v="60073"/>
        <n v="163205"/>
        <n v="50637"/>
        <n v="65564"/>
        <n v="43996"/>
        <n v="12487"/>
        <n v="132736"/>
        <n v="40535"/>
        <n v="115974"/>
        <n v="116532"/>
        <n v="110241"/>
        <n v="77535"/>
        <n v="116369"/>
        <n v="117133"/>
        <n v="4458940"/>
        <n v="0"/>
        <n v="28882"/>
        <n v="80369"/>
        <n v="29076"/>
        <n v="87248"/>
        <n v="49368"/>
        <n v="77475"/>
        <n v="18086"/>
        <n v="92443"/>
        <n v="62371"/>
        <n v="55334"/>
        <n v="43644"/>
        <n v="118420"/>
        <n v="50549"/>
        <n v="244524"/>
        <n v="116900"/>
        <n v="128923"/>
        <n v="90923"/>
        <n v="106619"/>
        <n v="279230"/>
        <n v="54049"/>
        <n v="41550"/>
        <n v="11174"/>
        <n v="209668"/>
        <n v="32266"/>
        <n v="68395"/>
        <n v="56276"/>
        <n v="21459"/>
        <n v="108344"/>
        <n v="57523"/>
        <n v="136792"/>
        <n v="120190"/>
        <n v="101457"/>
        <n v="88242"/>
        <n v="91827"/>
        <n v="154188"/>
        <n v="2893725"/>
        <n v="39725"/>
        <n v="83223"/>
        <n v="25967"/>
        <n v="74323"/>
        <n v="59386"/>
        <n v="69174"/>
        <n v="36710"/>
        <n v="77265"/>
        <n v="83066"/>
        <n v="33575"/>
        <n v="39556"/>
        <n v="106996"/>
        <n v="48617"/>
        <n v="243748"/>
        <n v="67161"/>
        <n v="117939"/>
        <n v="86309"/>
        <n v="114666"/>
        <n v="279410"/>
        <n v="74815"/>
        <n v="38881"/>
        <n v="13941"/>
        <n v="234704"/>
        <n v="47451"/>
        <n v="61553"/>
        <n v="63340"/>
        <n v="113562"/>
        <n v="59809"/>
        <n v="137489"/>
        <n v="119575"/>
        <n v="91117"/>
        <n v="187915"/>
        <n v="67770"/>
        <n v="113765"/>
        <n v="2730808"/>
        <n v="21640"/>
        <n v="60463"/>
        <n v="10646"/>
        <n v="66560"/>
        <n v="50498"/>
        <n v="47575"/>
        <n v="42348"/>
        <n v="55337"/>
        <n v="54284"/>
        <n v="39484"/>
        <n v="24074"/>
        <n v="81480"/>
        <n v="106131"/>
        <n v="176504"/>
        <n v="26285"/>
        <n v="90000"/>
        <n v="54231"/>
        <n v="87877"/>
        <n v="203286"/>
        <n v="62651"/>
        <n v="39760"/>
        <n v="8331"/>
        <n v="162819"/>
        <n v="46584"/>
        <n v="75593"/>
        <n v="59027"/>
        <n v="16579"/>
        <n v="85891"/>
        <n v="50857"/>
        <n v="92295"/>
        <n v="90445"/>
        <n v="84266"/>
        <n v="145297"/>
        <n v="21249"/>
        <n v="103051"/>
        <n v="972448"/>
        <n v="25627"/>
        <n v="68545"/>
        <n v="17482"/>
        <n v="76202"/>
        <n v="75566"/>
        <n v="68319"/>
        <n v="80363"/>
        <n v="79465"/>
        <n v="89897"/>
        <n v="45528"/>
        <n v="37993"/>
        <n v="121807"/>
        <n v="109999"/>
        <n v="236567"/>
        <n v="67230"/>
        <n v="81174"/>
        <n v="46665"/>
        <n v="108205"/>
        <n v="278566"/>
        <n v="82972"/>
        <n v="51946"/>
        <n v="35766"/>
        <n v="184992"/>
        <n v="67339"/>
        <n v="100728"/>
        <n v="101825"/>
        <n v="22121"/>
        <n v="95061"/>
        <n v="70079"/>
        <n v="107583"/>
        <n v="121744"/>
        <n v="145522"/>
        <n v="85815"/>
        <n v="34875"/>
        <n v="151018"/>
        <n v="1138040"/>
        <n v="17227"/>
        <n v="67147"/>
        <n v="13774"/>
        <n v="57071"/>
        <n v="79543"/>
        <n v="67456"/>
        <n v="58020"/>
        <n v="54085"/>
        <n v="98725"/>
        <n v="37452"/>
        <n v="37752"/>
        <n v="140786"/>
        <n v="107142"/>
        <n v="240729"/>
        <n v="50676"/>
        <n v="84731"/>
        <n v="50722"/>
        <n v="99373"/>
        <n v="275284"/>
        <n v="81969"/>
        <n v="55687"/>
        <n v="20901"/>
        <n v="196588"/>
        <n v="67576"/>
        <n v="104609"/>
        <n v="116693"/>
        <n v="23349"/>
        <n v="99287"/>
        <n v="62324"/>
        <n v="93107"/>
        <n v="121960"/>
        <n v="132860"/>
        <n v="66922"/>
        <n v="38482"/>
        <n v="142850"/>
        <n v="1878886"/>
        <n v="10402"/>
        <n v="23337"/>
        <n v="2923"/>
        <n v="55339"/>
        <n v="80616"/>
        <n v="69491"/>
        <n v="68503"/>
        <n v="68938"/>
        <n v="100926"/>
        <n v="56113"/>
        <n v="41697"/>
        <n v="130797"/>
        <n v="86896"/>
        <n v="205948"/>
        <n v="159861"/>
        <n v="79641"/>
        <n v="72968"/>
        <n v="98414"/>
        <n v="277218"/>
        <n v="84659"/>
        <n v="34865"/>
        <n v="20761"/>
        <n v="204535"/>
        <n v="66325"/>
        <n v="69680"/>
        <n v="92025"/>
        <n v="24855"/>
        <n v="35401"/>
        <n v="55111"/>
        <n v="64862"/>
        <n v="123350"/>
        <n v="127697"/>
        <n v="119571"/>
        <n v="25401"/>
        <n v="141741"/>
        <n v="997716"/>
        <n v="2997"/>
        <n v="2436"/>
        <n v="256"/>
        <n v="23409"/>
        <n v="12605"/>
        <n v="11790"/>
        <n v="8471"/>
        <n v="7777"/>
        <n v="347"/>
        <n v="3320"/>
        <n v="27129"/>
        <n v="1393"/>
        <n v="17835"/>
        <n v="15319"/>
        <n v="8048"/>
        <n v="4831"/>
        <n v="4574"/>
        <n v="31523"/>
        <n v="6925"/>
        <n v="1164"/>
        <n v="2703"/>
        <n v="9400"/>
        <n v="103"/>
        <n v="1295"/>
        <n v="705"/>
        <n v="3899"/>
        <n v="10049"/>
        <n v="7673"/>
        <n v="10930"/>
        <n v="12471"/>
        <n v="16253"/>
        <n v="11157"/>
        <n v="158"/>
        <n v="17236"/>
        <n v="148392"/>
        <n v="43"/>
        <n v="79"/>
        <n v="9"/>
        <n v="13"/>
        <n v="34"/>
        <n v="97"/>
        <n v="254"/>
        <n v="116"/>
        <n v="282"/>
        <n v="396"/>
        <n v="139"/>
        <n v="208"/>
        <n v="245"/>
        <n v="830"/>
        <n v="603"/>
        <n v="366"/>
        <n v="50"/>
        <n v="269"/>
        <n v="109"/>
        <n v="11"/>
        <n v="110"/>
        <n v="145"/>
        <n v="40"/>
        <n v="113"/>
        <n v="19"/>
        <n v="639"/>
        <n v="469"/>
        <n v="211"/>
        <n v="90"/>
        <n v="170"/>
        <n v="1664"/>
        <n v="1363"/>
        <n v="162"/>
        <n v="7"/>
        <n v="1374"/>
        <n v="204"/>
        <n v="42"/>
        <n v="275"/>
        <n v="350"/>
        <n v="177"/>
        <n v="515"/>
        <n v="1468"/>
        <n v="159"/>
        <n v="41"/>
        <n v="415"/>
        <n v="320"/>
        <n v="950"/>
        <n v="580"/>
        <n v="168"/>
        <n v="242"/>
        <n v="488"/>
        <n v="163"/>
        <n v="201"/>
        <n v="80"/>
        <n v="157"/>
        <n v="378"/>
        <n v="46"/>
        <n v="61"/>
        <n v="409"/>
        <n v="546"/>
        <n v="467"/>
        <n v="420"/>
        <n v="71"/>
        <n v="3142"/>
        <n v="884"/>
        <n v="5"/>
        <n v="783"/>
        <n v="2"/>
        <n v="67"/>
        <n v="101"/>
        <n v="179"/>
        <n v="180"/>
        <n v="483"/>
        <n v="333"/>
        <n v="460"/>
        <n v="1934"/>
        <n v="136"/>
        <n v="481"/>
        <n v="240"/>
        <n v="971"/>
        <n v="596"/>
        <n v="482"/>
        <n v="160"/>
        <n v="699"/>
        <n v="221"/>
        <n v="317"/>
        <n v="75"/>
        <n v="85"/>
        <n v="495"/>
        <n v="52"/>
        <n v="17"/>
        <n v="91"/>
        <n v="353"/>
        <n v="203"/>
        <n v="570"/>
        <n v="422"/>
        <n v="357"/>
        <n v="3275"/>
        <n v="646"/>
        <n v="264"/>
        <n v="846"/>
        <n v="66"/>
        <n v="192"/>
        <n v="69"/>
        <n v="502"/>
        <n v="311"/>
        <n v="27"/>
        <n v="406"/>
        <n v="88"/>
        <n v="94"/>
        <n v="609"/>
        <n v="297"/>
        <n v="1480"/>
        <n v="771"/>
        <n v="238"/>
        <n v="393"/>
        <n v="202"/>
        <n v="634"/>
        <n v="260"/>
        <n v="294"/>
        <n v="59"/>
        <n v="787"/>
        <n v="266"/>
        <n v="380"/>
        <n v="224"/>
        <n v="3138"/>
        <n v="117"/>
        <n v="86"/>
        <n v="214"/>
        <n v="205"/>
        <n v="89"/>
        <n v="57"/>
        <n v="137"/>
        <n v="48"/>
        <n v="10"/>
        <n v="96"/>
        <n v="268"/>
        <n v="171"/>
        <n v="190"/>
        <n v="78"/>
        <n v="153"/>
        <n v="108"/>
        <n v="33"/>
        <n v="39"/>
        <n v="93"/>
        <n v="14"/>
        <n v="28"/>
        <n v="84"/>
        <n v="106"/>
        <n v="51"/>
        <n v="1252"/>
        <n v="722"/>
        <n v="127"/>
        <n v="29"/>
      </sharedItems>
    </cacheField>
    <cacheField name="Serv. Deportivos Derecho Hab Publ" numFmtId="1">
      <sharedItems containsSemiMixedTypes="0" containsString="0" containsNumber="1" containsInteger="1" minValue="0" maxValue="161933" count="410">
        <n v="27460"/>
        <n v="35382"/>
        <n v="27582"/>
        <n v="71675"/>
        <n v="92230"/>
        <n v="37125"/>
        <n v="23992"/>
        <n v="57939"/>
        <n v="56697"/>
        <n v="63099"/>
        <n v="38573"/>
        <n v="79355"/>
        <n v="36767"/>
        <n v="22479"/>
        <n v="28705"/>
        <n v="16066"/>
        <n v="54785"/>
        <n v="33175"/>
        <n v="18736"/>
        <n v="42828"/>
        <n v="43956"/>
        <n v="47505"/>
        <n v="67299"/>
        <n v="9317"/>
        <n v="13559"/>
        <n v="69679"/>
        <n v="29228"/>
        <n v="25324"/>
        <n v="58583"/>
        <n v="68631"/>
        <n v="88862"/>
        <n v="127344"/>
        <n v="129901"/>
        <n v="67913"/>
        <n v="104254"/>
        <n v="0"/>
        <n v="24276"/>
        <n v="40548"/>
        <n v="33897"/>
        <n v="75096"/>
        <n v="71020"/>
        <n v="36780"/>
        <n v="14706"/>
        <n v="73046"/>
        <n v="44928"/>
        <n v="63296"/>
        <n v="39689"/>
        <n v="70442"/>
        <n v="40021"/>
        <n v="33134"/>
        <n v="36603"/>
        <n v="17123"/>
        <n v="55729"/>
        <n v="34983"/>
        <n v="28336"/>
        <n v="56161"/>
        <n v="40473"/>
        <n v="46109"/>
        <n v="80233"/>
        <n v="15283"/>
        <n v="17727"/>
        <n v="76730"/>
        <n v="27677"/>
        <n v="25534"/>
        <n v="57413"/>
        <n v="73402"/>
        <n v="89439"/>
        <n v="125658"/>
        <n v="109103"/>
        <n v="70010"/>
        <n v="102821"/>
        <n v="24096"/>
        <n v="41949"/>
        <n v="32707"/>
        <n v="72228"/>
        <n v="71299"/>
        <n v="36867"/>
        <n v="22440"/>
        <n v="61104"/>
        <n v="51576"/>
        <n v="64023"/>
        <n v="33729"/>
        <n v="71296"/>
        <n v="40187"/>
        <n v="33879"/>
        <n v="29015"/>
        <n v="15164"/>
        <n v="54848"/>
        <n v="34915"/>
        <n v="32738"/>
        <n v="56353"/>
        <n v="48376"/>
        <n v="26925"/>
        <n v="83159"/>
        <n v="16979"/>
        <n v="14915"/>
        <n v="48121"/>
        <n v="30392"/>
        <n v="25819"/>
        <n v="47295"/>
        <n v="73184"/>
        <n v="88408"/>
        <n v="105498"/>
        <n v="110643"/>
        <n v="73085"/>
        <n v="109969"/>
        <n v="28418"/>
        <n v="47250"/>
        <n v="38154"/>
        <n v="75016"/>
        <n v="68053"/>
        <n v="30959"/>
        <n v="25670"/>
        <n v="71098"/>
        <n v="43832"/>
        <n v="44394"/>
        <n v="31886"/>
        <n v="72504"/>
        <n v="37416"/>
        <n v="33015"/>
        <n v="29210"/>
        <n v="14002"/>
        <n v="49605"/>
        <n v="34249"/>
        <n v="34747"/>
        <n v="55731"/>
        <n v="38068"/>
        <n v="40314"/>
        <n v="85679"/>
        <n v="15312"/>
        <n v="23999"/>
        <n v="32865"/>
        <n v="26970"/>
        <n v="25403"/>
        <n v="51068"/>
        <n v="74792"/>
        <n v="97592"/>
        <n v="94954"/>
        <n v="137343"/>
        <n v="78460"/>
        <n v="88924"/>
        <n v="21839"/>
        <n v="40468"/>
        <n v="36099"/>
        <n v="71603"/>
        <n v="74767"/>
        <n v="23896"/>
        <n v="20673"/>
        <n v="70331"/>
        <n v="44913"/>
        <n v="46664"/>
        <n v="36828"/>
        <n v="72045"/>
        <n v="36706"/>
        <n v="32217"/>
        <n v="17739"/>
        <n v="18619"/>
        <n v="56171"/>
        <n v="34177"/>
        <n v="44439"/>
        <n v="51792"/>
        <n v="39038"/>
        <n v="43817"/>
        <n v="85222"/>
        <n v="15854"/>
        <n v="18956"/>
        <n v="27354"/>
        <n v="26234"/>
        <n v="25673"/>
        <n v="51174"/>
        <n v="75352"/>
        <n v="94515"/>
        <n v="113114"/>
        <n v="122890"/>
        <n v="94959"/>
        <n v="107345"/>
        <n v="23676"/>
        <n v="11851"/>
        <n v="63255"/>
        <n v="40337"/>
        <n v="74648"/>
        <n v="64789"/>
        <n v="19130"/>
        <n v="72141"/>
        <n v="46468"/>
        <n v="39688"/>
        <n v="38767"/>
        <n v="72759"/>
        <n v="32765"/>
        <n v="31890"/>
        <n v="33884"/>
        <n v="21918"/>
        <n v="55386"/>
        <n v="65121"/>
        <n v="34857"/>
        <n v="47146"/>
        <n v="40744"/>
        <n v="44029"/>
        <n v="88112"/>
        <n v="15752"/>
        <n v="16785"/>
        <n v="17653"/>
        <n v="26748"/>
        <n v="25473"/>
        <n v="48337"/>
        <n v="46989"/>
        <n v="92540"/>
        <n v="48880"/>
        <n v="161933"/>
        <n v="87897"/>
        <n v="114647"/>
        <n v="6210"/>
        <n v="3324"/>
        <n v="29171"/>
        <n v="35752"/>
        <n v="20194"/>
        <n v="24366"/>
        <n v="3194"/>
        <n v="9155"/>
        <n v="8124"/>
        <n v="5275"/>
        <n v="5334"/>
        <n v="15133"/>
        <n v="28950"/>
        <n v="26203"/>
        <n v="7478"/>
        <n v="5052"/>
        <n v="26895"/>
        <n v="13057"/>
        <n v="5186"/>
        <n v="12497"/>
        <n v="2825"/>
        <n v="7528"/>
        <n v="38034"/>
        <n v="2271"/>
        <n v="2139"/>
        <n v="3671"/>
        <n v="7153"/>
        <n v="6948"/>
        <n v="9776"/>
        <n v="11393"/>
        <n v="24051"/>
        <n v="28827"/>
        <n v="44236"/>
        <n v="26737"/>
        <n v="25514"/>
        <n v="386"/>
        <n v="184"/>
        <n v="4"/>
        <n v="143"/>
        <n v="551"/>
        <n v="1944"/>
        <n v="302"/>
        <n v="176"/>
        <n v="563"/>
        <n v="298"/>
        <n v="521"/>
        <n v="286"/>
        <n v="884"/>
        <n v="389"/>
        <n v="1794"/>
        <n v="668"/>
        <n v="93"/>
        <n v="166"/>
        <n v="300"/>
        <n v="299"/>
        <n v="193"/>
        <n v="509"/>
        <n v="354"/>
        <n v="507"/>
        <n v="545"/>
        <n v="445"/>
        <n v="187"/>
        <n v="508"/>
        <n v="127"/>
        <n v="1814"/>
        <n v="2117"/>
        <n v="685"/>
        <n v="913"/>
        <n v="959"/>
        <n v="241"/>
        <n v="146"/>
        <n v="763"/>
        <n v="680"/>
        <n v="3166"/>
        <n v="421"/>
        <n v="644"/>
        <n v="1180"/>
        <n v="719"/>
        <n v="229"/>
        <n v="626"/>
        <n v="352"/>
        <n v="1780"/>
        <n v="1333"/>
        <n v="398"/>
        <n v="567"/>
        <n v="332"/>
        <n v="514"/>
        <n v="206"/>
        <n v="312"/>
        <n v="621"/>
        <n v="793"/>
        <n v="377"/>
        <n v="16"/>
        <n v="653"/>
        <n v="1525"/>
        <n v="603"/>
        <n v="2663"/>
        <n v="3229"/>
        <n v="1070"/>
        <n v="4992"/>
        <n v="1632"/>
        <n v="761"/>
        <n v="47"/>
        <n v="1260"/>
        <n v="651"/>
        <n v="2926"/>
        <n v="334"/>
        <n v="422"/>
        <n v="614"/>
        <n v="1408"/>
        <n v="540"/>
        <n v="151"/>
        <n v="638"/>
        <n v="488"/>
        <n v="2206"/>
        <n v="1901"/>
        <n v="351"/>
        <n v="343"/>
        <n v="346"/>
        <n v="652"/>
        <n v="217"/>
        <n v="308"/>
        <n v="715"/>
        <n v="1357"/>
        <n v="37"/>
        <n v="484"/>
        <n v="12"/>
        <n v="263"/>
        <n v="556"/>
        <n v="985"/>
        <n v="767"/>
        <n v="3255"/>
        <n v="2662"/>
        <n v="1208"/>
        <n v="1956"/>
        <n v="3407"/>
        <n v="67042"/>
        <n v="1259"/>
        <n v="586"/>
        <n v="419"/>
        <n v="1315"/>
        <n v="309"/>
        <n v="420"/>
        <n v="726"/>
        <n v="440"/>
        <n v="562"/>
        <n v="756"/>
        <n v="599"/>
        <n v="1571"/>
        <n v="2157"/>
        <n v="2013"/>
        <n v="359"/>
        <n v="379"/>
        <n v="371"/>
        <n v="674"/>
        <n v="266"/>
        <n v="665"/>
        <n v="1545"/>
        <n v="76"/>
        <n v="39"/>
        <n v="253"/>
        <n v="742"/>
        <n v="1071"/>
        <n v="2565"/>
        <n v="3145"/>
        <n v="1710"/>
        <n v="271"/>
        <n v="1442"/>
        <n v="439"/>
        <n v="36"/>
        <n v="99"/>
        <n v="426"/>
        <n v="94"/>
        <n v="109"/>
        <n v="305"/>
        <n v="476"/>
        <n v="159"/>
        <n v="85"/>
        <n v="252"/>
        <n v="382"/>
        <n v="837"/>
        <n v="535"/>
        <n v="183"/>
        <n v="168"/>
        <n v="301"/>
        <n v="142"/>
        <n v="177"/>
        <n v="144"/>
        <n v="204"/>
        <n v="3"/>
        <n v="86"/>
        <n v="145"/>
        <n v="87"/>
        <n v="207"/>
        <n v="1092"/>
        <n v="691"/>
        <n v="558"/>
        <n v="196"/>
        <n v="58"/>
      </sharedItems>
    </cacheField>
    <cacheField name="Serv. Sociales Derecho Hab Publ" numFmtId="1">
      <sharedItems containsSemiMixedTypes="0" containsString="0" containsNumber="1" containsInteger="1" minValue="0" maxValue="91806"/>
    </cacheField>
    <cacheField name="Serv. Funerarios Derecho Hab Publ" numFmtId="1">
      <sharedItems containsSemiMixedTypes="0" containsString="0" containsNumber="1" containsInteger="1" minValue="0" maxValue="73308"/>
    </cacheField>
    <cacheField name="Serv. Sociales Pensionados Jubl" numFmtId="1">
      <sharedItems containsSemiMixedTypes="0" containsString="0" containsNumber="1" containsInteger="1" minValue="0" maxValue="52128"/>
    </cacheField>
    <cacheField name="Fome Deportivo Pensionados Jubl" numFmtId="1">
      <sharedItems containsSemiMixedTypes="0" containsString="0" containsNumber="1" containsInteger="1" minValue="0" maxValue="56269" count="413">
        <n v="3793"/>
        <n v="1605"/>
        <n v="2489"/>
        <n v="5330"/>
        <n v="16641"/>
        <n v="1300"/>
        <n v="12000"/>
        <n v="2543"/>
        <n v="10806"/>
        <n v="2450"/>
        <n v="3312"/>
        <n v="2835"/>
        <n v="3158"/>
        <n v="2378"/>
        <n v="2440"/>
        <n v="5015"/>
        <n v="3415"/>
        <n v="2236"/>
        <n v="1543"/>
        <n v="1890"/>
        <n v="3459"/>
        <n v="2273"/>
        <n v="6535"/>
        <n v="1023"/>
        <n v="2080"/>
        <n v="11541"/>
        <n v="1920"/>
        <n v="2796"/>
        <n v="4384"/>
        <n v="11485"/>
        <n v="14260"/>
        <n v="22831"/>
        <n v="15902"/>
        <n v="16094"/>
        <n v="19327"/>
        <n v="0"/>
        <n v="4844"/>
        <n v="2097"/>
        <n v="3826"/>
        <n v="5351"/>
        <n v="14356"/>
        <n v="1225"/>
        <n v="11975"/>
        <n v="3363"/>
        <n v="12643"/>
        <n v="2414"/>
        <n v="2168"/>
        <n v="2188"/>
        <n v="3200"/>
        <n v="3437"/>
        <n v="3402"/>
        <n v="5276"/>
        <n v="3420"/>
        <n v="2322"/>
        <n v="6994"/>
        <n v="1805"/>
        <n v="3544"/>
        <n v="2251"/>
        <n v="12145"/>
        <n v="1176"/>
        <n v="6149"/>
        <n v="10498"/>
        <n v="2826"/>
        <n v="4793"/>
        <n v="13766"/>
        <n v="12281"/>
        <n v="22392"/>
        <n v="14006"/>
        <n v="25621"/>
        <n v="17885"/>
        <n v="3748"/>
        <n v="2446"/>
        <n v="2856"/>
        <n v="5373"/>
        <n v="15877"/>
        <n v="1315"/>
        <n v="6508"/>
        <n v="2637"/>
        <n v="10380"/>
        <n v="2319"/>
        <n v="2644"/>
        <n v="1748"/>
        <n v="3018"/>
        <n v="1944"/>
        <n v="2094"/>
        <n v="5651"/>
        <n v="2371"/>
        <n v="12133"/>
        <n v="1778"/>
        <n v="3332"/>
        <n v="2098"/>
        <n v="8080"/>
        <n v="1703"/>
        <n v="2233"/>
        <n v="8829"/>
        <n v="2958"/>
        <n v="1675"/>
        <n v="12062"/>
        <n v="12320"/>
        <n v="19350"/>
        <n v="16086"/>
        <n v="37665"/>
        <n v="19039"/>
        <n v="2571"/>
        <n v="12022"/>
        <n v="975"/>
        <n v="5245"/>
        <n v="2584"/>
        <n v="9180"/>
        <n v="1823"/>
        <n v="1294"/>
        <n v="2247"/>
        <n v="2758"/>
        <n v="2740"/>
        <n v="1160"/>
        <n v="3249"/>
        <n v="2494"/>
        <n v="1729"/>
        <n v="2943"/>
        <n v="1020"/>
        <n v="2978"/>
        <n v="1706"/>
        <n v="10099"/>
        <n v="1128"/>
        <n v="5228"/>
        <n v="8313"/>
        <n v="1440"/>
        <n v="2198"/>
        <n v="4977"/>
        <n v="14638"/>
        <n v="9620"/>
        <n v="13838"/>
        <n v="11952"/>
        <n v="16455"/>
        <n v="11732"/>
        <n v="13336"/>
        <n v="3005"/>
        <n v="3696"/>
        <n v="5394"/>
        <n v="15165"/>
        <n v="1386"/>
        <n v="13301"/>
        <n v="12640"/>
        <n v="4177"/>
        <n v="2900"/>
        <n v="2427"/>
        <n v="3197"/>
        <n v="3915"/>
        <n v="3608"/>
        <n v="4451"/>
        <n v="3296"/>
        <n v="2269"/>
        <n v="7023"/>
        <n v="2030"/>
        <n v="6942"/>
        <n v="2290"/>
        <n v="12462"/>
        <n v="1521"/>
        <n v="11549"/>
        <n v="1175"/>
        <n v="2863"/>
        <n v="6003"/>
        <n v="15518"/>
        <n v="16167"/>
        <n v="18840"/>
        <n v="17689"/>
        <n v="27179"/>
        <n v="17506"/>
        <n v="10792"/>
        <n v="3952"/>
        <n v="3580"/>
        <n v="5383"/>
        <n v="17750"/>
        <n v="18299"/>
        <n v="14528"/>
        <n v="12680"/>
        <n v="3037"/>
        <n v="2170"/>
        <n v="3440"/>
        <n v="3218"/>
        <n v="3185"/>
        <n v="1779"/>
        <n v="5039"/>
        <n v="3292"/>
        <n v="2268"/>
        <n v="10752"/>
        <n v="1370"/>
        <n v="9476"/>
        <n v="2252"/>
        <n v="12025"/>
        <n v="1537"/>
        <n v="8046"/>
        <n v="8280"/>
        <n v="3015"/>
        <n v="4068"/>
        <n v="17458"/>
        <n v="17502"/>
        <n v="19438"/>
        <n v="11134"/>
        <n v="56269"/>
        <n v="16656"/>
        <n v="10488"/>
        <n v="663"/>
        <n v="15535"/>
        <n v="4750"/>
        <n v="15194"/>
        <n v="10988"/>
        <n v="14329"/>
        <n v="4903"/>
        <n v="13140"/>
        <n v="1956"/>
        <n v="2975"/>
        <n v="3244"/>
        <n v="3081"/>
        <n v="4994"/>
        <n v="5093"/>
        <n v="5676"/>
        <n v="3816"/>
        <n v="4241"/>
        <n v="5755"/>
        <n v="2244"/>
        <n v="3997"/>
        <n v="2424"/>
        <n v="11894"/>
        <n v="1112"/>
        <n v="7849"/>
        <n v="15938"/>
        <n v="3165"/>
        <n v="4214"/>
        <n v="25968"/>
        <n v="13730"/>
        <n v="14430"/>
        <n v="11419"/>
        <n v="49834"/>
        <n v="12065"/>
        <n v="3082"/>
        <n v="342"/>
        <n v="4240"/>
        <n v="1405"/>
        <n v="5007"/>
        <n v="665"/>
        <n v="2545"/>
        <n v="1168"/>
        <n v="3730"/>
        <n v="425"/>
        <n v="420"/>
        <n v="615"/>
        <n v="1681"/>
        <n v="4580"/>
        <n v="1722"/>
        <n v="1137"/>
        <n v="2240"/>
        <n v="707"/>
        <n v="376"/>
        <n v="1519"/>
        <n v="590"/>
        <n v="1533"/>
        <n v="9386"/>
        <n v="57"/>
        <n v="1262"/>
        <n v="2363"/>
        <n v="480"/>
        <n v="2542"/>
        <n v="876"/>
        <n v="3525"/>
        <n v="4024"/>
        <n v="6078"/>
        <n v="2259"/>
        <n v="14666"/>
        <n v="2522"/>
        <n v="40"/>
        <n v="67"/>
        <n v="752"/>
        <n v="877"/>
        <n v="138"/>
        <n v="626"/>
        <n v="311"/>
        <n v="400"/>
        <n v="60"/>
        <n v="178"/>
        <n v="139"/>
        <n v="367"/>
        <n v="1571"/>
        <n v="563"/>
        <n v="174"/>
        <n v="206"/>
        <n v="260"/>
        <n v="148"/>
        <n v="164"/>
        <n v="193"/>
        <n v="499"/>
        <n v="153"/>
        <n v="235"/>
        <n v="314"/>
        <n v="938"/>
        <n v="83"/>
        <n v="445"/>
        <n v="1821"/>
        <n v="403"/>
        <n v="1"/>
        <n v="407"/>
        <n v="176"/>
        <n v="814"/>
        <n v="623"/>
        <n v="1515"/>
        <n v="289"/>
        <n v="2299"/>
        <n v="296"/>
        <n v="436"/>
        <n v="267"/>
        <n v="159"/>
        <n v="261"/>
        <n v="282"/>
        <n v="1755"/>
        <n v="657"/>
        <n v="184"/>
        <n v="421"/>
        <n v="353"/>
        <n v="275"/>
        <n v="308"/>
        <n v="212"/>
        <n v="502"/>
        <n v="39"/>
        <n v="313"/>
        <n v="5"/>
        <n v="307"/>
        <n v="431"/>
        <n v="1524"/>
        <n v="1299"/>
        <n v="36"/>
        <n v="750"/>
        <n v="735"/>
        <n v="277"/>
        <n v="3"/>
        <n v="1254"/>
        <n v="558"/>
        <n v="1496"/>
        <n v="319"/>
        <n v="800"/>
        <n v="569"/>
        <n v="1004"/>
        <n v="457"/>
        <n v="155"/>
        <n v="283"/>
        <n v="2197"/>
        <n v="720"/>
        <n v="189"/>
        <n v="462"/>
        <n v="323"/>
        <n v="195"/>
        <n v="146"/>
        <n v="1384"/>
        <n v="114"/>
        <n v="483"/>
        <n v="2"/>
        <n v="217"/>
        <n v="1052"/>
        <n v="1697"/>
        <n v="69"/>
        <n v="1025"/>
        <n v="1532"/>
        <n v="1131"/>
        <n v="911"/>
        <n v="294"/>
        <n v="4"/>
        <n v="1246"/>
        <n v="318"/>
        <n v="822"/>
        <n v="370"/>
        <n v="167"/>
        <n v="613"/>
        <n v="448"/>
        <n v="95"/>
        <n v="317"/>
        <n v="624"/>
        <n v="2180"/>
        <n v="862"/>
        <n v="286"/>
        <n v="168"/>
        <n v="601"/>
        <n v="137"/>
        <n v="393"/>
        <n v="1456"/>
        <n v="226"/>
        <n v="290"/>
        <n v="166"/>
        <n v="1122"/>
        <n v="1382"/>
        <n v="1093"/>
        <n v="253"/>
        <n v="7"/>
        <n v="527"/>
        <n v="81"/>
        <n v="272"/>
        <n v="89"/>
        <n v="23"/>
        <n v="80"/>
        <n v="55"/>
        <n v="797"/>
        <n v="50"/>
        <n v="109"/>
        <n v="191"/>
        <n v="262"/>
        <n v="156"/>
        <n v="37"/>
        <n v="169"/>
        <n v="136"/>
        <n v="131"/>
        <n v="44"/>
        <n v="180"/>
        <n v="107"/>
        <n v="699"/>
        <n v="451"/>
      </sharedItems>
    </cacheField>
    <cacheField name="Serv. Culturales Pensionados Jubl" numFmtId="1">
      <sharedItems containsSemiMixedTypes="0" containsString="0" containsNumber="1" containsInteger="1" minValue="0" maxValue="384945" count="386">
        <n v="11569"/>
        <n v="10342"/>
        <n v="3754"/>
        <n v="10283"/>
        <n v="11413"/>
        <n v="9513"/>
        <n v="1471"/>
        <n v="7611"/>
        <n v="4091"/>
        <n v="7530"/>
        <n v="4932"/>
        <n v="5566"/>
        <n v="6904"/>
        <n v="2488"/>
        <n v="5494"/>
        <n v="6422"/>
        <n v="3864"/>
        <n v="11513"/>
        <n v="29140"/>
        <n v="11083"/>
        <n v="12622"/>
        <n v="7956"/>
        <n v="8847"/>
        <n v="14161"/>
        <n v="4577"/>
        <n v="5842"/>
        <n v="1060"/>
        <n v="21951"/>
        <n v="1263"/>
        <n v="27761"/>
        <n v="10674"/>
        <n v="9457"/>
        <n v="30301"/>
        <n v="7203"/>
        <n v="51613"/>
        <n v="384945"/>
        <n v="13678"/>
        <n v="0"/>
        <n v="1740"/>
        <n v="7644"/>
        <n v="1096"/>
        <n v="10574"/>
        <n v="6136"/>
        <n v="11974"/>
        <n v="657"/>
        <n v="4237"/>
        <n v="5720"/>
        <n v="4410"/>
        <n v="3552"/>
        <n v="7406"/>
        <n v="7721"/>
        <n v="8458"/>
        <n v="58349"/>
        <n v="7034"/>
        <n v="3978"/>
        <n v="12343"/>
        <n v="33335"/>
        <n v="11885"/>
        <n v="248"/>
        <n v="227"/>
        <n v="9706"/>
        <n v="2254"/>
        <n v="2724"/>
        <n v="3856"/>
        <n v="1805"/>
        <n v="18713"/>
        <n v="984"/>
        <n v="16785"/>
        <n v="10115"/>
        <n v="7219"/>
        <n v="12098"/>
        <n v="16516"/>
        <n v="19915"/>
        <n v="14790"/>
        <n v="15756"/>
        <n v="7016"/>
        <n v="12254"/>
        <n v="2351"/>
        <n v="9586"/>
        <n v="10336"/>
        <n v="10975"/>
        <n v="2691"/>
        <n v="7360"/>
        <n v="9561"/>
        <n v="7316"/>
        <n v="1212"/>
        <n v="9879"/>
        <n v="7193"/>
        <n v="10747"/>
        <n v="58308"/>
        <n v="7439"/>
        <n v="3724"/>
        <n v="11766"/>
        <n v="31662"/>
        <n v="17760"/>
        <n v="8359"/>
        <n v="111"/>
        <n v="10061"/>
        <n v="6702"/>
        <n v="3144"/>
        <n v="5856"/>
        <n v="2530"/>
        <n v="17652"/>
        <n v="2091"/>
        <n v="25933"/>
        <n v="15353"/>
        <n v="8193"/>
        <n v="11275"/>
        <n v="5704"/>
        <n v="32298"/>
        <n v="36648"/>
        <n v="5292"/>
        <n v="6139"/>
        <n v="1972"/>
        <n v="7286"/>
        <n v="5995"/>
        <n v="6745"/>
        <n v="9711"/>
        <n v="7773"/>
        <n v="10206"/>
        <n v="6608"/>
        <n v="1580"/>
        <n v="6013"/>
        <n v="8040"/>
        <n v="9969"/>
        <n v="1998"/>
        <n v="14083"/>
        <n v="5175"/>
        <n v="7167"/>
        <n v="60186"/>
        <n v="6710"/>
        <n v="12309"/>
        <n v="228"/>
        <n v="6811"/>
        <n v="5889"/>
        <n v="8550"/>
        <n v="13188"/>
        <n v="855"/>
        <n v="7513"/>
        <n v="753"/>
        <n v="18445"/>
        <n v="8454"/>
        <n v="9480"/>
        <n v="9453"/>
        <n v="7818"/>
        <n v="21376"/>
        <n v="23673"/>
        <n v="5436"/>
        <n v="9269"/>
        <n v="2710"/>
        <n v="16876"/>
        <n v="6089"/>
        <n v="9633"/>
        <n v="11454"/>
        <n v="11802"/>
        <n v="7705"/>
        <n v="32107"/>
        <n v="675"/>
        <n v="8543"/>
        <n v="7792"/>
        <n v="11731"/>
        <n v="10177"/>
        <n v="6015"/>
        <n v="3096"/>
        <n v="7634"/>
        <n v="79082"/>
        <n v="12046"/>
        <n v="18551"/>
        <n v="2228"/>
        <n v="9697"/>
        <n v="8259"/>
        <n v="6843"/>
        <n v="25155"/>
        <n v="1670"/>
        <n v="8169"/>
        <n v="678"/>
        <n v="11441"/>
        <n v="9836"/>
        <n v="10723"/>
        <n v="13474"/>
        <n v="14663"/>
        <n v="26677"/>
        <n v="12874"/>
        <n v="10068"/>
        <n v="4878"/>
        <n v="10182"/>
        <n v="3467"/>
        <n v="11190"/>
        <n v="6397"/>
        <n v="13524"/>
        <n v="13402"/>
        <n v="2038"/>
        <n v="11056"/>
        <n v="18098"/>
        <n v="1813"/>
        <n v="7624"/>
        <n v="7270"/>
        <n v="10854"/>
        <n v="8438"/>
        <n v="5945"/>
        <n v="2030"/>
        <n v="5132"/>
        <n v="77654"/>
        <n v="11169"/>
        <n v="12450"/>
        <n v="3413"/>
        <n v="15704"/>
        <n v="8196"/>
        <n v="7707"/>
        <n v="22470"/>
        <n v="1250"/>
        <n v="7399"/>
        <n v="1130"/>
        <n v="13794"/>
        <n v="10990"/>
        <n v="10708"/>
        <n v="18681"/>
        <n v="19063"/>
        <n v="30612"/>
        <n v="9199"/>
        <n v="9847"/>
        <n v="4277"/>
        <n v="3331"/>
        <n v="1620"/>
        <n v="8162"/>
        <n v="7592"/>
        <n v="11322"/>
        <n v="16853"/>
        <n v="7118"/>
        <n v="7245"/>
        <n v="7471"/>
        <n v="66"/>
        <n v="8325"/>
        <n v="6242"/>
        <n v="12312"/>
        <n v="4885"/>
        <n v="4732"/>
        <n v="6355"/>
        <n v="5790"/>
        <n v="105889"/>
        <n v="12815"/>
        <n v="686"/>
        <n v="7744"/>
        <n v="14648"/>
        <n v="8290"/>
        <n v="3526"/>
        <n v="12015"/>
        <n v="1905"/>
        <n v="6599"/>
        <n v="1477"/>
        <n v="11618"/>
        <n v="10761"/>
        <n v="3094"/>
        <n v="12443"/>
        <n v="9752"/>
        <n v="18830"/>
        <n v="19648"/>
        <n v="1548"/>
        <n v="417"/>
        <n v="251"/>
        <n v="1924"/>
        <n v="1502"/>
        <n v="1465"/>
        <n v="1800"/>
        <n v="961"/>
        <n v="31"/>
        <n v="2033"/>
        <n v="164"/>
        <n v="2281"/>
        <n v="420"/>
        <n v="333"/>
        <n v="172"/>
        <n v="377"/>
        <n v="13506"/>
        <n v="1330"/>
        <n v="951"/>
        <n v="1225"/>
        <n v="2064"/>
        <n v="189"/>
        <n v="152"/>
        <n v="800"/>
        <n v="367"/>
        <n v="792"/>
        <n v="218"/>
        <n v="1154"/>
        <n v="930"/>
        <n v="368"/>
        <n v="1517"/>
        <n v="215"/>
        <n v="2471"/>
        <n v="1"/>
        <n v="263"/>
        <n v="504"/>
        <n v="26"/>
        <n v="107"/>
        <n v="4"/>
        <n v="11"/>
        <n v="192"/>
        <n v="81"/>
        <n v="120"/>
        <n v="148"/>
        <n v="22"/>
        <n v="59"/>
        <n v="9"/>
        <n v="157"/>
        <n v="428"/>
        <n v="41"/>
        <n v="220"/>
        <n v="25"/>
        <n v="280"/>
        <n v="204"/>
        <n v="2"/>
        <n v="7"/>
        <n v="77"/>
        <n v="255"/>
        <n v="449"/>
        <n v="102"/>
        <n v="176"/>
        <n v="121"/>
        <n v="305"/>
        <n v="38"/>
        <n v="5"/>
        <n v="12"/>
        <n v="94"/>
        <n v="91"/>
        <n v="3"/>
        <n v="444"/>
        <n v="29"/>
        <n v="117"/>
        <n v="235"/>
        <n v="275"/>
        <n v="21"/>
        <n v="53"/>
        <n v="351"/>
        <n v="536"/>
        <n v="193"/>
        <n v="269"/>
        <n v="566"/>
        <n v="108"/>
        <n v="24"/>
        <n v="6"/>
        <n v="180"/>
        <n v="326"/>
        <n v="14"/>
        <n v="74"/>
        <n v="44"/>
        <n v="473"/>
        <n v="110"/>
        <n v="160"/>
        <n v="106"/>
        <n v="354"/>
        <n v="63"/>
        <n v="396"/>
        <n v="162"/>
        <n v="443"/>
        <n v="191"/>
        <n v="210"/>
        <n v="595"/>
        <n v="380"/>
        <n v="15"/>
        <n v="809"/>
        <n v="201"/>
        <n v="52"/>
        <n v="158"/>
        <n v="207"/>
        <n v="182"/>
        <n v="216"/>
        <n v="78"/>
        <n v="257"/>
        <n v="352"/>
        <n v="34"/>
        <n v="37"/>
        <n v="54"/>
        <n v="139"/>
        <n v="183"/>
        <n v="35"/>
        <n v="151"/>
        <n v="72"/>
        <n v="65"/>
        <n v="20"/>
        <n v="43"/>
        <n v="47"/>
        <n v="33"/>
        <n v="166"/>
        <n v="249"/>
        <n v="8"/>
      </sharedItems>
    </cacheField>
    <cacheField name="Soci Comedores Pensionados Jubl" numFmtId="1">
      <sharedItems containsSemiMixedTypes="0" containsString="0" containsNumber="1" containsInteger="1" minValue="0" maxValue="66937"/>
    </cacheField>
    <cacheField name="Fecha" numFmtId="14">
      <sharedItems containsSemiMixedTypes="0" containsNonDate="0" containsDate="1" containsString="0" minDate="2013-01-01T00:00:00" maxDate="2025-01-02T00:00:00"/>
    </cacheField>
    <cacheField name="Suma de todos los Servicios" numFmtId="1">
      <sharedItems containsSemiMixedTypes="0" containsString="0" containsNumber="1" containsInteger="1" minValue="0" maxValue="4843885" count="489">
        <n v="88177"/>
        <n v="111642"/>
        <n v="59609"/>
        <n v="178329"/>
        <n v="195809"/>
        <n v="129945"/>
        <n v="132117"/>
        <n v="118866"/>
        <n v="161906"/>
        <n v="174733"/>
        <n v="89397"/>
        <n v="200138"/>
        <n v="113268"/>
        <n v="112953"/>
        <n v="67935"/>
        <n v="173643"/>
        <n v="159398"/>
        <n v="192639"/>
        <n v="329408"/>
        <n v="73771"/>
        <n v="107558"/>
        <n v="124464"/>
        <n v="255930"/>
        <n v="79781"/>
        <n v="85839"/>
        <n v="132959"/>
        <n v="44855"/>
        <n v="190642"/>
        <n v="108296"/>
        <n v="227349"/>
        <n v="237642"/>
        <n v="278421"/>
        <n v="290525"/>
        <n v="213498"/>
        <n v="300430"/>
        <n v="4843885"/>
        <n v="78020"/>
        <n v="85345"/>
        <n v="63143"/>
        <n v="133180"/>
        <n v="69613"/>
        <n v="184775"/>
        <n v="148655"/>
        <n v="133690"/>
        <n v="46349"/>
        <n v="184456"/>
        <n v="130107"/>
        <n v="125549"/>
        <n v="90144"/>
        <n v="199756"/>
        <n v="113311"/>
        <n v="294296"/>
        <n v="234690"/>
        <n v="160110"/>
        <n v="161284"/>
        <n v="169463"/>
        <n v="382665"/>
        <n v="128853"/>
        <n v="96457"/>
        <n v="60381"/>
        <n v="328654"/>
        <n v="56159"/>
        <n v="98825"/>
        <n v="149649"/>
        <n v="53615"/>
        <n v="162909"/>
        <n v="124560"/>
        <n v="260539"/>
        <n v="245569"/>
        <n v="265940"/>
        <n v="253935"/>
        <n v="214446"/>
        <n v="302570"/>
        <n v="2908515"/>
        <n v="87770"/>
        <n v="104095"/>
        <n v="75077"/>
        <n v="142217"/>
        <n v="65591"/>
        <n v="168279"/>
        <n v="165266"/>
        <n v="124617"/>
        <n v="69060"/>
        <n v="155661"/>
        <n v="162969"/>
        <n v="107889"/>
        <n v="78596"/>
        <n v="191296"/>
        <n v="134911"/>
        <n v="298299"/>
        <n v="189018"/>
        <n v="148441"/>
        <n v="154760"/>
        <n v="177107"/>
        <n v="386880"/>
        <n v="157338"/>
        <n v="108253"/>
        <n v="43075"/>
        <n v="352623"/>
        <n v="77894"/>
        <n v="83195"/>
        <n v="128371"/>
        <n v="67874"/>
        <n v="168708"/>
        <n v="114862"/>
        <n v="267175"/>
        <n v="248596"/>
        <n v="232338"/>
        <n v="348010"/>
        <n v="196764"/>
        <n v="280247"/>
        <n v="2767456"/>
        <n v="68779"/>
        <n v="109962"/>
        <n v="31392"/>
        <n v="70858"/>
        <n v="16057"/>
        <n v="82274"/>
        <n v="120643"/>
        <n v="60033"/>
        <n v="60868"/>
        <n v="78318"/>
        <n v="77470"/>
        <n v="56949"/>
        <n v="28348"/>
        <n v="93004"/>
        <n v="125586"/>
        <n v="194393"/>
        <n v="35061"/>
        <n v="109167"/>
        <n v="65216"/>
        <n v="100377"/>
        <n v="292974"/>
        <n v="75365"/>
        <n v="62962"/>
        <n v="10265"/>
        <n v="186727"/>
        <n v="57473"/>
        <n v="90763"/>
        <n v="88943"/>
        <n v="19554"/>
        <n v="102593"/>
        <n v="58055"/>
        <n v="140604"/>
        <n v="117304"/>
        <n v="110312"/>
        <n v="172802"/>
        <n v="55249"/>
        <n v="139866"/>
        <n v="996121"/>
        <n v="47567"/>
        <n v="73308"/>
        <n v="77356"/>
        <n v="133010"/>
        <n v="63667"/>
        <n v="180515"/>
        <n v="208418"/>
        <n v="116810"/>
        <n v="133094"/>
        <n v="179492"/>
        <n v="176429"/>
        <n v="137286"/>
        <n v="75745"/>
        <n v="206945"/>
        <n v="166428"/>
        <n v="295071"/>
        <n v="119691"/>
        <n v="107724"/>
        <n v="105415"/>
        <n v="158101"/>
        <n v="450363"/>
        <n v="158867"/>
        <n v="127505"/>
        <n v="80718"/>
        <n v="300556"/>
        <n v="105100"/>
        <n v="145109"/>
        <n v="167976"/>
        <n v="56565"/>
        <n v="137870"/>
        <n v="131629"/>
        <n v="225220"/>
        <n v="266254"/>
        <n v="281029"/>
        <n v="270073"/>
        <n v="165226"/>
        <n v="302551"/>
        <n v="1150914"/>
        <n v="65312"/>
        <n v="111844"/>
        <n v="54799"/>
        <n v="126791"/>
        <n v="57775"/>
        <n v="155326"/>
        <n v="223652"/>
        <n v="131031"/>
        <n v="108850"/>
        <n v="139020"/>
        <n v="189441"/>
        <n v="109470"/>
        <n v="80989"/>
        <n v="225894"/>
        <n v="163671"/>
        <n v="298452"/>
        <n v="84921"/>
        <n v="116199"/>
        <n v="115368"/>
        <n v="145996"/>
        <n v="459232"/>
        <n v="153334"/>
        <n v="124501"/>
        <n v="81828"/>
        <n v="316814"/>
        <n v="106612"/>
        <n v="140254"/>
        <n v="180674"/>
        <n v="55037"/>
        <n v="142019"/>
        <n v="122961"/>
        <n v="214440"/>
        <n v="256818"/>
        <n v="289376"/>
        <n v="236430"/>
        <n v="220189"/>
        <n v="313541"/>
        <n v="1888180"/>
        <n v="58270"/>
        <n v="101073"/>
        <n v="48854"/>
        <n v="39256"/>
        <n v="85119"/>
        <n v="116419"/>
        <n v="218829"/>
        <n v="167095"/>
        <n v="120234"/>
        <n v="161895"/>
        <n v="190220"/>
        <n v="105642"/>
        <n v="85652"/>
        <n v="217071"/>
        <n v="136524"/>
        <n v="265081"/>
        <n v="208393"/>
        <n v="113388"/>
        <n v="141233"/>
        <n v="177880"/>
        <n v="465325"/>
        <n v="154249"/>
        <n v="83823"/>
        <n v="93827"/>
        <n v="330049"/>
        <n v="97220"/>
        <n v="98805"/>
        <n v="144145"/>
        <n v="57770"/>
        <n v="72080"/>
        <n v="112585"/>
        <n v="159620"/>
        <n v="272864"/>
        <n v="200639"/>
        <n v="323076"/>
        <n v="182353"/>
        <n v="304156"/>
        <n v="1000246"/>
        <n v="75824"/>
        <n v="117491"/>
        <n v="13958"/>
        <n v="7071"/>
        <n v="33966"/>
        <n v="65788"/>
        <n v="41169"/>
        <n v="25107"/>
        <n v="19211"/>
        <n v="21645"/>
        <n v="21878"/>
        <n v="7060"/>
        <n v="9202"/>
        <n v="45689"/>
        <n v="32611"/>
        <n v="58696"/>
        <n v="25529"/>
        <n v="14833"/>
        <n v="35627"/>
        <n v="20832"/>
        <n v="50610"/>
        <n v="26941"/>
        <n v="5899"/>
        <n v="14819"/>
        <n v="63121"/>
        <n v="2994"/>
        <n v="4848"/>
        <n v="8121"/>
        <n v="11899"/>
        <n v="21601"/>
        <n v="19003"/>
        <n v="27893"/>
        <n v="42616"/>
        <n v="56708"/>
        <n v="68472"/>
        <n v="42611"/>
        <n v="50599"/>
        <n v="148437"/>
        <n v="0"/>
        <n v="11320"/>
        <n v="486"/>
        <n v="526"/>
        <n v="50"/>
        <n v="2494"/>
        <n v="3673"/>
        <n v="4144"/>
        <n v="1176"/>
        <n v="2805"/>
        <n v="1389"/>
        <n v="1892"/>
        <n v="1476"/>
        <n v="563"/>
        <n v="2475"/>
        <n v="5236"/>
        <n v="5009"/>
        <n v="3135"/>
        <n v="889"/>
        <n v="2206"/>
        <n v="825"/>
        <n v="1376"/>
        <n v="683"/>
        <n v="1391"/>
        <n v="1275"/>
        <n v="2270"/>
        <n v="1643"/>
        <n v="25"/>
        <n v="2190"/>
        <n v="1722"/>
        <n v="2956"/>
        <n v="1743"/>
        <n v="2858"/>
        <n v="9448"/>
        <n v="6155"/>
        <n v="4251"/>
        <n v="921"/>
        <n v="16560"/>
        <n v="2876"/>
        <n v="744"/>
        <n v="912"/>
        <n v="2596"/>
        <n v="3724"/>
        <n v="10468"/>
        <n v="1578"/>
        <n v="6725"/>
        <n v="1702"/>
        <n v="14891"/>
        <n v="2888"/>
        <n v="433"/>
        <n v="4258"/>
        <n v="1516"/>
        <n v="6253"/>
        <n v="3353"/>
        <n v="1431"/>
        <n v="2284"/>
        <n v="1387"/>
        <n v="1717"/>
        <n v="1114"/>
        <n v="1284"/>
        <n v="1537"/>
        <n v="5813"/>
        <n v="171"/>
        <n v="2101"/>
        <n v="99"/>
        <n v="1987"/>
        <n v="5681"/>
        <n v="5607"/>
        <n v="4398"/>
        <n v="6540"/>
        <n v="10759"/>
        <n v="10936"/>
        <n v="4093"/>
        <n v="5220"/>
        <n v="26341"/>
        <n v="63578"/>
        <n v="3542"/>
        <n v="1361"/>
        <n v="513"/>
        <n v="4260"/>
        <n v="3686"/>
        <n v="6182"/>
        <n v="1798"/>
        <n v="2957"/>
        <n v="2034"/>
        <n v="8825"/>
        <n v="2276"/>
        <n v="400"/>
        <n v="4098"/>
        <n v="1531"/>
        <n v="6466"/>
        <n v="4257"/>
        <n v="1545"/>
        <n v="1802"/>
        <n v="1831"/>
        <n v="2173"/>
        <n v="1130"/>
        <n v="1071"/>
        <n v="1658"/>
        <n v="6359"/>
        <n v="432"/>
        <n v="2171"/>
        <n v="110"/>
        <n v="1150"/>
        <n v="3088"/>
        <n v="6430"/>
        <n v="2661"/>
        <n v="10932"/>
        <n v="10651"/>
        <n v="5311"/>
        <n v="5815"/>
        <n v="3689"/>
        <n v="56944"/>
        <n v="95902"/>
        <n v="3380"/>
        <n v="1223"/>
        <n v="1247"/>
        <n v="4414"/>
        <n v="1927"/>
        <n v="2940"/>
        <n v="3311"/>
        <n v="861"/>
        <n v="2242"/>
        <n v="1792"/>
        <n v="925"/>
        <n v="4703"/>
        <n v="1753"/>
        <n v="8329"/>
        <n v="6326"/>
        <n v="4657"/>
        <n v="1419"/>
        <n v="2000"/>
        <n v="2281"/>
        <n v="2374"/>
        <n v="1252"/>
        <n v="897"/>
        <n v="1745"/>
        <n v="6895"/>
        <n v="773"/>
        <n v="2165"/>
        <n v="130"/>
        <n v="858"/>
        <n v="3409"/>
        <n v="5769"/>
        <n v="3160"/>
        <n v="11103"/>
        <n v="10911"/>
        <n v="4978"/>
        <n v="3389"/>
        <n v="1716"/>
        <n v="2279"/>
        <n v="59343"/>
        <n v="997"/>
        <n v="64"/>
        <n v="406"/>
        <n v="1619"/>
        <n v="398"/>
        <n v="507"/>
        <n v="1475"/>
        <n v="956"/>
        <n v="446"/>
        <n v="174"/>
        <n v="609"/>
        <n v="919"/>
        <n v="462"/>
        <n v="2022"/>
        <n v="2250"/>
        <n v="1435"/>
        <n v="545"/>
        <n v="675"/>
        <n v="827"/>
        <n v="993"/>
        <n v="506"/>
        <n v="579"/>
        <n v="382"/>
        <n v="688"/>
        <n v="68"/>
        <n v="265"/>
        <n v="667"/>
        <n v="553"/>
        <n v="736"/>
        <n v="4274"/>
        <n v="4748"/>
        <n v="1310"/>
        <n v="1487"/>
        <n v="98"/>
        <n v="437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Mariano" refreshedDate="45982.533347337965" createdVersion="8" refreshedVersion="8" minRefreshableVersion="3" recordCount="8" xr:uid="{71A40FA1-9934-4051-840D-BF1E7AA9F939}">
  <cacheSource type="worksheet">
    <worksheetSource name="Tabla3"/>
  </cacheSource>
  <cacheFields count="2">
    <cacheField name="Nombre Servicio" numFmtId="1">
      <sharedItems count="8">
        <s v="Serv. Culturales Derecho Hab Publ"/>
        <s v="Serv. Deportivos Derecho Hab Publ"/>
        <s v="Serv. Sociales Derecho Hab Publ"/>
        <s v="Serv. Funerarios Derecho Hab Publ"/>
        <s v="Serv. Sociales Pensionados Jubl"/>
        <s v="Fome Deportivo Pensionados Jubl"/>
        <s v="Serv. Culturales Pensionados Jubl"/>
        <s v="Soci Comedores Pensionados Jubl"/>
      </sharedItems>
    </cacheField>
    <cacheField name="Total de cada servicio" numFmtId="1">
      <sharedItems containsSemiMixedTypes="0" containsString="0" containsNumber="1" containsInteger="1" minValue="322484" maxValue="36375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x v="0"/>
    <x v="0"/>
    <x v="0"/>
    <n v="0"/>
    <n v="195"/>
    <n v="6844"/>
    <x v="0"/>
    <x v="0"/>
    <n v="0"/>
    <d v="2013-01-01T00:00:00"/>
    <x v="0"/>
  </r>
  <r>
    <x v="0"/>
    <x v="1"/>
    <x v="1"/>
    <x v="1"/>
    <n v="0"/>
    <n v="86"/>
    <n v="1055"/>
    <x v="1"/>
    <x v="1"/>
    <n v="0"/>
    <d v="2013-01-01T00:00:00"/>
    <x v="1"/>
  </r>
  <r>
    <x v="0"/>
    <x v="2"/>
    <x v="2"/>
    <x v="2"/>
    <n v="0"/>
    <n v="34"/>
    <n v="2833"/>
    <x v="2"/>
    <x v="2"/>
    <n v="0"/>
    <d v="2013-01-01T00:00:00"/>
    <x v="2"/>
  </r>
  <r>
    <x v="0"/>
    <x v="3"/>
    <x v="3"/>
    <x v="3"/>
    <n v="0"/>
    <n v="82"/>
    <n v="5583"/>
    <x v="3"/>
    <x v="3"/>
    <n v="0"/>
    <d v="2013-01-01T00:00:00"/>
    <x v="3"/>
  </r>
  <r>
    <x v="0"/>
    <x v="4"/>
    <x v="4"/>
    <x v="4"/>
    <n v="0"/>
    <n v="4"/>
    <n v="9635"/>
    <x v="4"/>
    <x v="4"/>
    <n v="0"/>
    <d v="2013-01-01T00:00:00"/>
    <x v="4"/>
  </r>
  <r>
    <x v="0"/>
    <x v="5"/>
    <x v="5"/>
    <x v="5"/>
    <n v="0"/>
    <n v="36"/>
    <n v="6205"/>
    <x v="5"/>
    <x v="5"/>
    <n v="0"/>
    <d v="2013-01-01T00:00:00"/>
    <x v="5"/>
  </r>
  <r>
    <x v="0"/>
    <x v="6"/>
    <x v="6"/>
    <x v="6"/>
    <n v="0"/>
    <n v="200"/>
    <n v="1475"/>
    <x v="6"/>
    <x v="6"/>
    <n v="0"/>
    <d v="2013-01-01T00:00:00"/>
    <x v="6"/>
  </r>
  <r>
    <x v="0"/>
    <x v="7"/>
    <x v="7"/>
    <x v="7"/>
    <n v="0"/>
    <n v="165"/>
    <n v="11111"/>
    <x v="7"/>
    <x v="7"/>
    <n v="0"/>
    <d v="2013-01-01T00:00:00"/>
    <x v="7"/>
  </r>
  <r>
    <x v="0"/>
    <x v="8"/>
    <x v="8"/>
    <x v="8"/>
    <n v="0"/>
    <n v="22"/>
    <n v="1795"/>
    <x v="8"/>
    <x v="8"/>
    <n v="0"/>
    <d v="2013-01-01T00:00:00"/>
    <x v="8"/>
  </r>
  <r>
    <x v="0"/>
    <x v="9"/>
    <x v="9"/>
    <x v="9"/>
    <n v="0"/>
    <n v="64"/>
    <n v="1320"/>
    <x v="9"/>
    <x v="9"/>
    <n v="0"/>
    <d v="2013-01-01T00:00:00"/>
    <x v="9"/>
  </r>
  <r>
    <x v="0"/>
    <x v="10"/>
    <x v="10"/>
    <x v="10"/>
    <n v="0"/>
    <n v="72"/>
    <n v="890"/>
    <x v="10"/>
    <x v="10"/>
    <n v="0"/>
    <d v="2013-01-01T00:00:00"/>
    <x v="10"/>
  </r>
  <r>
    <x v="0"/>
    <x v="11"/>
    <x v="11"/>
    <x v="11"/>
    <n v="0"/>
    <n v="74"/>
    <n v="1114"/>
    <x v="11"/>
    <x v="11"/>
    <n v="0"/>
    <d v="2013-01-01T00:00:00"/>
    <x v="11"/>
  </r>
  <r>
    <x v="0"/>
    <x v="12"/>
    <x v="12"/>
    <x v="12"/>
    <n v="0"/>
    <n v="377"/>
    <n v="22123"/>
    <x v="12"/>
    <x v="12"/>
    <n v="0"/>
    <d v="2013-01-01T00:00:00"/>
    <x v="12"/>
  </r>
  <r>
    <x v="0"/>
    <x v="13"/>
    <x v="13"/>
    <x v="13"/>
    <n v="0"/>
    <n v="3845"/>
    <n v="0"/>
    <x v="13"/>
    <x v="13"/>
    <n v="0"/>
    <d v="2013-01-01T00:00:00"/>
    <x v="13"/>
  </r>
  <r>
    <x v="0"/>
    <x v="14"/>
    <x v="14"/>
    <x v="14"/>
    <n v="0"/>
    <n v="229"/>
    <n v="11981"/>
    <x v="14"/>
    <x v="14"/>
    <n v="0"/>
    <d v="2013-01-01T00:00:00"/>
    <x v="14"/>
  </r>
  <r>
    <x v="0"/>
    <x v="15"/>
    <x v="15"/>
    <x v="15"/>
    <n v="0"/>
    <n v="53"/>
    <n v="1487"/>
    <x v="15"/>
    <x v="15"/>
    <n v="0"/>
    <d v="2013-01-01T00:00:00"/>
    <x v="15"/>
  </r>
  <r>
    <x v="0"/>
    <x v="16"/>
    <x v="16"/>
    <x v="16"/>
    <n v="0"/>
    <n v="193"/>
    <n v="8403"/>
    <x v="16"/>
    <x v="16"/>
    <n v="0"/>
    <d v="2013-01-01T00:00:00"/>
    <x v="16"/>
  </r>
  <r>
    <x v="0"/>
    <x v="17"/>
    <x v="17"/>
    <x v="17"/>
    <n v="0"/>
    <n v="2376"/>
    <n v="9970"/>
    <x v="17"/>
    <x v="17"/>
    <n v="0"/>
    <d v="2013-01-01T00:00:00"/>
    <x v="17"/>
  </r>
  <r>
    <x v="0"/>
    <x v="18"/>
    <x v="18"/>
    <x v="18"/>
    <n v="0"/>
    <n v="94"/>
    <n v="6178"/>
    <x v="18"/>
    <x v="18"/>
    <n v="0"/>
    <d v="2013-01-01T00:00:00"/>
    <x v="18"/>
  </r>
  <r>
    <x v="0"/>
    <x v="19"/>
    <x v="19"/>
    <x v="19"/>
    <n v="0"/>
    <n v="539"/>
    <n v="5036"/>
    <x v="19"/>
    <x v="19"/>
    <n v="0"/>
    <d v="2013-01-01T00:00:00"/>
    <x v="19"/>
  </r>
  <r>
    <x v="0"/>
    <x v="20"/>
    <x v="20"/>
    <x v="20"/>
    <n v="0"/>
    <n v="47"/>
    <n v="12766"/>
    <x v="20"/>
    <x v="20"/>
    <n v="0"/>
    <d v="2013-01-01T00:00:00"/>
    <x v="20"/>
  </r>
  <r>
    <x v="0"/>
    <x v="21"/>
    <x v="21"/>
    <x v="21"/>
    <n v="0"/>
    <n v="47"/>
    <n v="6610"/>
    <x v="21"/>
    <x v="21"/>
    <n v="0"/>
    <d v="2013-01-01T00:00:00"/>
    <x v="21"/>
  </r>
  <r>
    <x v="0"/>
    <x v="22"/>
    <x v="22"/>
    <x v="22"/>
    <n v="0"/>
    <n v="60"/>
    <n v="9984"/>
    <x v="22"/>
    <x v="22"/>
    <n v="0"/>
    <d v="2013-01-01T00:00:00"/>
    <x v="22"/>
  </r>
  <r>
    <x v="0"/>
    <x v="23"/>
    <x v="23"/>
    <x v="23"/>
    <n v="0"/>
    <n v="0"/>
    <n v="4643"/>
    <x v="23"/>
    <x v="23"/>
    <n v="0"/>
    <d v="2013-01-01T00:00:00"/>
    <x v="23"/>
  </r>
  <r>
    <x v="0"/>
    <x v="24"/>
    <x v="24"/>
    <x v="24"/>
    <n v="0"/>
    <n v="37"/>
    <n v="22"/>
    <x v="24"/>
    <x v="24"/>
    <n v="0"/>
    <d v="2013-01-01T00:00:00"/>
    <x v="24"/>
  </r>
  <r>
    <x v="0"/>
    <x v="25"/>
    <x v="25"/>
    <x v="25"/>
    <n v="0"/>
    <n v="118"/>
    <n v="1783"/>
    <x v="25"/>
    <x v="25"/>
    <n v="0"/>
    <d v="2013-01-01T00:00:00"/>
    <x v="25"/>
  </r>
  <r>
    <x v="0"/>
    <x v="26"/>
    <x v="26"/>
    <x v="26"/>
    <n v="0"/>
    <n v="12"/>
    <n v="148"/>
    <x v="26"/>
    <x v="26"/>
    <n v="0"/>
    <d v="2013-01-01T00:00:00"/>
    <x v="26"/>
  </r>
  <r>
    <x v="0"/>
    <x v="27"/>
    <x v="27"/>
    <x v="27"/>
    <n v="0"/>
    <n v="78"/>
    <n v="7757"/>
    <x v="27"/>
    <x v="27"/>
    <n v="0"/>
    <d v="2013-01-01T00:00:00"/>
    <x v="27"/>
  </r>
  <r>
    <x v="0"/>
    <x v="28"/>
    <x v="28"/>
    <x v="28"/>
    <n v="0"/>
    <n v="76"/>
    <n v="3455"/>
    <x v="28"/>
    <x v="28"/>
    <n v="0"/>
    <d v="2013-01-01T00:00:00"/>
    <x v="28"/>
  </r>
  <r>
    <x v="0"/>
    <x v="29"/>
    <x v="29"/>
    <x v="29"/>
    <n v="0"/>
    <n v="11"/>
    <n v="3487"/>
    <x v="29"/>
    <x v="29"/>
    <n v="0"/>
    <d v="2013-01-01T00:00:00"/>
    <x v="29"/>
  </r>
  <r>
    <x v="0"/>
    <x v="30"/>
    <x v="30"/>
    <x v="30"/>
    <n v="0"/>
    <n v="433"/>
    <n v="6881"/>
    <x v="30"/>
    <x v="30"/>
    <n v="0"/>
    <d v="2013-01-01T00:00:00"/>
    <x v="30"/>
  </r>
  <r>
    <x v="0"/>
    <x v="31"/>
    <x v="31"/>
    <x v="31"/>
    <n v="0"/>
    <n v="6436"/>
    <n v="2112"/>
    <x v="31"/>
    <x v="31"/>
    <n v="0"/>
    <d v="2013-01-01T00:00:00"/>
    <x v="31"/>
  </r>
  <r>
    <x v="0"/>
    <x v="32"/>
    <x v="32"/>
    <x v="32"/>
    <n v="0"/>
    <n v="14131"/>
    <n v="22755"/>
    <x v="32"/>
    <x v="32"/>
    <n v="0"/>
    <d v="2013-01-01T00:00:00"/>
    <x v="32"/>
  </r>
  <r>
    <x v="0"/>
    <x v="33"/>
    <x v="33"/>
    <x v="33"/>
    <n v="0"/>
    <n v="0"/>
    <n v="5919"/>
    <x v="33"/>
    <x v="33"/>
    <n v="0"/>
    <d v="2013-01-01T00:00:00"/>
    <x v="33"/>
  </r>
  <r>
    <x v="0"/>
    <x v="34"/>
    <x v="34"/>
    <x v="34"/>
    <n v="0"/>
    <n v="2529"/>
    <n v="5574"/>
    <x v="34"/>
    <x v="34"/>
    <n v="0"/>
    <d v="2013-01-01T00:00:00"/>
    <x v="34"/>
  </r>
  <r>
    <x v="0"/>
    <x v="35"/>
    <x v="35"/>
    <x v="35"/>
    <n v="0"/>
    <n v="0"/>
    <n v="0"/>
    <x v="35"/>
    <x v="35"/>
    <n v="0"/>
    <d v="2013-01-01T00:00:00"/>
    <x v="35"/>
  </r>
  <r>
    <x v="0"/>
    <x v="36"/>
    <x v="36"/>
    <x v="35"/>
    <n v="0"/>
    <n v="0"/>
    <n v="4489"/>
    <x v="35"/>
    <x v="36"/>
    <n v="59853"/>
    <d v="2013-01-01T00:00:00"/>
    <x v="36"/>
  </r>
  <r>
    <x v="0"/>
    <x v="37"/>
    <x v="36"/>
    <x v="35"/>
    <n v="72610"/>
    <n v="0"/>
    <n v="0"/>
    <x v="35"/>
    <x v="37"/>
    <n v="12735"/>
    <d v="2013-01-01T00:00:00"/>
    <x v="37"/>
  </r>
  <r>
    <x v="1"/>
    <x v="0"/>
    <x v="37"/>
    <x v="36"/>
    <n v="0"/>
    <n v="98"/>
    <n v="3303"/>
    <x v="36"/>
    <x v="38"/>
    <n v="0"/>
    <d v="2014-01-01T00:00:00"/>
    <x v="38"/>
  </r>
  <r>
    <x v="1"/>
    <x v="1"/>
    <x v="38"/>
    <x v="37"/>
    <n v="0"/>
    <n v="78"/>
    <n v="2444"/>
    <x v="37"/>
    <x v="39"/>
    <n v="0"/>
    <d v="2014-01-01T00:00:00"/>
    <x v="39"/>
  </r>
  <r>
    <x v="1"/>
    <x v="2"/>
    <x v="39"/>
    <x v="38"/>
    <n v="0"/>
    <n v="36"/>
    <n v="1682"/>
    <x v="38"/>
    <x v="40"/>
    <n v="0"/>
    <d v="2014-01-01T00:00:00"/>
    <x v="40"/>
  </r>
  <r>
    <x v="1"/>
    <x v="3"/>
    <x v="40"/>
    <x v="39"/>
    <n v="0"/>
    <n v="77"/>
    <n v="6429"/>
    <x v="39"/>
    <x v="41"/>
    <n v="0"/>
    <d v="2014-01-01T00:00:00"/>
    <x v="41"/>
  </r>
  <r>
    <x v="1"/>
    <x v="4"/>
    <x v="41"/>
    <x v="40"/>
    <n v="0"/>
    <n v="9"/>
    <n v="7766"/>
    <x v="40"/>
    <x v="42"/>
    <n v="0"/>
    <d v="2014-01-01T00:00:00"/>
    <x v="42"/>
  </r>
  <r>
    <x v="1"/>
    <x v="5"/>
    <x v="42"/>
    <x v="41"/>
    <n v="0"/>
    <n v="83"/>
    <n v="6153"/>
    <x v="41"/>
    <x v="43"/>
    <n v="0"/>
    <d v="2014-01-01T00:00:00"/>
    <x v="43"/>
  </r>
  <r>
    <x v="1"/>
    <x v="6"/>
    <x v="43"/>
    <x v="42"/>
    <n v="0"/>
    <n v="1"/>
    <n v="924"/>
    <x v="42"/>
    <x v="44"/>
    <n v="0"/>
    <d v="2014-01-01T00:00:00"/>
    <x v="44"/>
  </r>
  <r>
    <x v="1"/>
    <x v="7"/>
    <x v="44"/>
    <x v="43"/>
    <n v="0"/>
    <n v="240"/>
    <n v="11127"/>
    <x v="43"/>
    <x v="45"/>
    <n v="0"/>
    <d v="2014-01-01T00:00:00"/>
    <x v="45"/>
  </r>
  <r>
    <x v="1"/>
    <x v="8"/>
    <x v="45"/>
    <x v="44"/>
    <n v="0"/>
    <n v="16"/>
    <n v="4429"/>
    <x v="44"/>
    <x v="46"/>
    <n v="0"/>
    <d v="2014-01-01T00:00:00"/>
    <x v="46"/>
  </r>
  <r>
    <x v="1"/>
    <x v="9"/>
    <x v="46"/>
    <x v="45"/>
    <n v="0"/>
    <n v="95"/>
    <n v="0"/>
    <x v="45"/>
    <x v="47"/>
    <n v="0"/>
    <d v="2014-01-01T00:00:00"/>
    <x v="47"/>
  </r>
  <r>
    <x v="1"/>
    <x v="10"/>
    <x v="47"/>
    <x v="46"/>
    <n v="0"/>
    <n v="81"/>
    <n v="1010"/>
    <x v="46"/>
    <x v="48"/>
    <n v="0"/>
    <d v="2014-01-01T00:00:00"/>
    <x v="48"/>
  </r>
  <r>
    <x v="1"/>
    <x v="11"/>
    <x v="48"/>
    <x v="47"/>
    <n v="0"/>
    <n v="74"/>
    <n v="1226"/>
    <x v="47"/>
    <x v="49"/>
    <n v="0"/>
    <d v="2014-01-01T00:00:00"/>
    <x v="49"/>
  </r>
  <r>
    <x v="1"/>
    <x v="12"/>
    <x v="49"/>
    <x v="48"/>
    <n v="0"/>
    <n v="447"/>
    <n v="11373"/>
    <x v="48"/>
    <x v="50"/>
    <n v="0"/>
    <d v="2014-01-01T00:00:00"/>
    <x v="50"/>
  </r>
  <r>
    <x v="1"/>
    <x v="13"/>
    <x v="50"/>
    <x v="49"/>
    <n v="0"/>
    <n v="4273"/>
    <n v="470"/>
    <x v="49"/>
    <x v="51"/>
    <n v="0"/>
    <d v="2014-01-01T00:00:00"/>
    <x v="51"/>
  </r>
  <r>
    <x v="1"/>
    <x v="14"/>
    <x v="51"/>
    <x v="50"/>
    <n v="0"/>
    <n v="219"/>
    <n v="19217"/>
    <x v="50"/>
    <x v="52"/>
    <n v="0"/>
    <d v="2014-01-01T00:00:00"/>
    <x v="52"/>
  </r>
  <r>
    <x v="1"/>
    <x v="15"/>
    <x v="52"/>
    <x v="51"/>
    <n v="0"/>
    <n v="55"/>
    <n v="1699"/>
    <x v="51"/>
    <x v="53"/>
    <n v="0"/>
    <d v="2014-01-01T00:00:00"/>
    <x v="53"/>
  </r>
  <r>
    <x v="1"/>
    <x v="16"/>
    <x v="53"/>
    <x v="52"/>
    <n v="0"/>
    <n v="183"/>
    <n v="7051"/>
    <x v="52"/>
    <x v="54"/>
    <n v="0"/>
    <d v="2014-01-01T00:00:00"/>
    <x v="54"/>
  </r>
  <r>
    <x v="1"/>
    <x v="17"/>
    <x v="54"/>
    <x v="53"/>
    <n v="0"/>
    <n v="2478"/>
    <n v="10718"/>
    <x v="53"/>
    <x v="55"/>
    <n v="0"/>
    <d v="2014-01-01T00:00:00"/>
    <x v="55"/>
  </r>
  <r>
    <x v="1"/>
    <x v="18"/>
    <x v="55"/>
    <x v="54"/>
    <n v="0"/>
    <n v="85"/>
    <n v="34685"/>
    <x v="54"/>
    <x v="56"/>
    <n v="0"/>
    <d v="2014-01-01T00:00:00"/>
    <x v="56"/>
  </r>
  <r>
    <x v="1"/>
    <x v="19"/>
    <x v="56"/>
    <x v="55"/>
    <n v="0"/>
    <n v="321"/>
    <n v="4632"/>
    <x v="55"/>
    <x v="57"/>
    <n v="0"/>
    <d v="2014-01-01T00:00:00"/>
    <x v="57"/>
  </r>
  <r>
    <x v="1"/>
    <x v="20"/>
    <x v="57"/>
    <x v="56"/>
    <n v="0"/>
    <n v="58"/>
    <n v="10584"/>
    <x v="56"/>
    <x v="58"/>
    <n v="0"/>
    <d v="2014-01-01T00:00:00"/>
    <x v="58"/>
  </r>
  <r>
    <x v="1"/>
    <x v="21"/>
    <x v="58"/>
    <x v="57"/>
    <n v="0"/>
    <n v="0"/>
    <n v="620"/>
    <x v="57"/>
    <x v="59"/>
    <n v="0"/>
    <d v="2014-01-01T00:00:00"/>
    <x v="59"/>
  </r>
  <r>
    <x v="1"/>
    <x v="22"/>
    <x v="59"/>
    <x v="58"/>
    <n v="0"/>
    <n v="166"/>
    <n v="16736"/>
    <x v="58"/>
    <x v="60"/>
    <n v="0"/>
    <d v="2014-01-01T00:00:00"/>
    <x v="60"/>
  </r>
  <r>
    <x v="1"/>
    <x v="23"/>
    <x v="60"/>
    <x v="59"/>
    <n v="0"/>
    <n v="0"/>
    <n v="5180"/>
    <x v="59"/>
    <x v="61"/>
    <n v="0"/>
    <d v="2014-01-01T00:00:00"/>
    <x v="61"/>
  </r>
  <r>
    <x v="1"/>
    <x v="24"/>
    <x v="61"/>
    <x v="60"/>
    <n v="0"/>
    <n v="56"/>
    <n v="3774"/>
    <x v="60"/>
    <x v="62"/>
    <n v="0"/>
    <d v="2014-01-01T00:00:00"/>
    <x v="62"/>
  </r>
  <r>
    <x v="1"/>
    <x v="25"/>
    <x v="62"/>
    <x v="61"/>
    <n v="0"/>
    <n v="93"/>
    <n v="2196"/>
    <x v="61"/>
    <x v="63"/>
    <n v="0"/>
    <d v="2014-01-01T00:00:00"/>
    <x v="63"/>
  </r>
  <r>
    <x v="1"/>
    <x v="26"/>
    <x v="63"/>
    <x v="62"/>
    <n v="0"/>
    <n v="6"/>
    <n v="748"/>
    <x v="26"/>
    <x v="64"/>
    <n v="0"/>
    <d v="2014-01-01T00:00:00"/>
    <x v="64"/>
  </r>
  <r>
    <x v="1"/>
    <x v="27"/>
    <x v="64"/>
    <x v="63"/>
    <n v="0"/>
    <n v="115"/>
    <n v="7377"/>
    <x v="62"/>
    <x v="65"/>
    <n v="0"/>
    <d v="2014-01-01T00:00:00"/>
    <x v="65"/>
  </r>
  <r>
    <x v="1"/>
    <x v="28"/>
    <x v="65"/>
    <x v="64"/>
    <n v="0"/>
    <n v="63"/>
    <n v="3784"/>
    <x v="63"/>
    <x v="66"/>
    <n v="0"/>
    <d v="2014-01-01T00:00:00"/>
    <x v="66"/>
  </r>
  <r>
    <x v="1"/>
    <x v="29"/>
    <x v="66"/>
    <x v="65"/>
    <n v="0"/>
    <n v="86"/>
    <n v="19708"/>
    <x v="64"/>
    <x v="67"/>
    <n v="0"/>
    <d v="2014-01-01T00:00:00"/>
    <x v="67"/>
  </r>
  <r>
    <x v="1"/>
    <x v="30"/>
    <x v="67"/>
    <x v="66"/>
    <n v="0"/>
    <n v="407"/>
    <n v="13137"/>
    <x v="65"/>
    <x v="68"/>
    <n v="0"/>
    <d v="2014-01-01T00:00:00"/>
    <x v="68"/>
  </r>
  <r>
    <x v="1"/>
    <x v="31"/>
    <x v="68"/>
    <x v="67"/>
    <n v="0"/>
    <n v="5677"/>
    <n v="3537"/>
    <x v="66"/>
    <x v="69"/>
    <n v="0"/>
    <d v="2014-01-01T00:00:00"/>
    <x v="69"/>
  </r>
  <r>
    <x v="1"/>
    <x v="32"/>
    <x v="69"/>
    <x v="68"/>
    <n v="0"/>
    <n v="13462"/>
    <n v="17024"/>
    <x v="67"/>
    <x v="70"/>
    <n v="0"/>
    <d v="2014-01-01T00:00:00"/>
    <x v="70"/>
  </r>
  <r>
    <x v="1"/>
    <x v="33"/>
    <x v="70"/>
    <x v="69"/>
    <n v="0"/>
    <n v="0"/>
    <n v="10472"/>
    <x v="68"/>
    <x v="71"/>
    <n v="0"/>
    <d v="2014-01-01T00:00:00"/>
    <x v="71"/>
  </r>
  <r>
    <x v="1"/>
    <x v="34"/>
    <x v="71"/>
    <x v="70"/>
    <n v="0"/>
    <n v="2558"/>
    <n v="5203"/>
    <x v="69"/>
    <x v="72"/>
    <n v="0"/>
    <d v="2014-01-01T00:00:00"/>
    <x v="72"/>
  </r>
  <r>
    <x v="1"/>
    <x v="38"/>
    <x v="72"/>
    <x v="35"/>
    <n v="0"/>
    <n v="0"/>
    <n v="0"/>
    <x v="35"/>
    <x v="73"/>
    <n v="0"/>
    <d v="2014-01-01T00:00:00"/>
    <x v="73"/>
  </r>
  <r>
    <x v="1"/>
    <x v="36"/>
    <x v="36"/>
    <x v="35"/>
    <n v="0"/>
    <n v="0"/>
    <n v="5077"/>
    <x v="35"/>
    <x v="74"/>
    <n v="66937"/>
    <d v="2014-01-01T00:00:00"/>
    <x v="74"/>
  </r>
  <r>
    <x v="1"/>
    <x v="37"/>
    <x v="36"/>
    <x v="35"/>
    <n v="78209"/>
    <n v="0"/>
    <n v="0"/>
    <x v="35"/>
    <x v="37"/>
    <n v="25886"/>
    <d v="2014-01-01T00:00:00"/>
    <x v="75"/>
  </r>
  <r>
    <x v="2"/>
    <x v="0"/>
    <x v="73"/>
    <x v="71"/>
    <n v="0"/>
    <n v="30"/>
    <n v="462"/>
    <x v="70"/>
    <x v="75"/>
    <n v="0"/>
    <d v="2015-01-01T00:00:00"/>
    <x v="76"/>
  </r>
  <r>
    <x v="2"/>
    <x v="1"/>
    <x v="74"/>
    <x v="72"/>
    <n v="0"/>
    <n v="50"/>
    <n v="2295"/>
    <x v="71"/>
    <x v="76"/>
    <n v="0"/>
    <d v="2015-01-01T00:00:00"/>
    <x v="77"/>
  </r>
  <r>
    <x v="2"/>
    <x v="2"/>
    <x v="75"/>
    <x v="73"/>
    <n v="0"/>
    <n v="10"/>
    <n v="1700"/>
    <x v="72"/>
    <x v="77"/>
    <n v="0"/>
    <d v="2015-01-01T00:00:00"/>
    <x v="78"/>
  </r>
  <r>
    <x v="2"/>
    <x v="3"/>
    <x v="76"/>
    <x v="74"/>
    <n v="0"/>
    <n v="79"/>
    <n v="6690"/>
    <x v="73"/>
    <x v="78"/>
    <n v="0"/>
    <d v="2015-01-01T00:00:00"/>
    <x v="79"/>
  </r>
  <r>
    <x v="2"/>
    <x v="4"/>
    <x v="77"/>
    <x v="75"/>
    <n v="0"/>
    <n v="18"/>
    <n v="8350"/>
    <x v="74"/>
    <x v="79"/>
    <n v="0"/>
    <d v="2015-01-01T00:00:00"/>
    <x v="80"/>
  </r>
  <r>
    <x v="2"/>
    <x v="5"/>
    <x v="78"/>
    <x v="76"/>
    <n v="0"/>
    <n v="95"/>
    <n v="6191"/>
    <x v="75"/>
    <x v="80"/>
    <n v="0"/>
    <d v="2015-01-01T00:00:00"/>
    <x v="81"/>
  </r>
  <r>
    <x v="2"/>
    <x v="6"/>
    <x v="79"/>
    <x v="77"/>
    <n v="0"/>
    <n v="0"/>
    <n v="711"/>
    <x v="76"/>
    <x v="81"/>
    <n v="0"/>
    <d v="2015-01-01T00:00:00"/>
    <x v="82"/>
  </r>
  <r>
    <x v="2"/>
    <x v="7"/>
    <x v="80"/>
    <x v="78"/>
    <n v="0"/>
    <n v="153"/>
    <n v="7142"/>
    <x v="77"/>
    <x v="82"/>
    <n v="0"/>
    <d v="2015-01-01T00:00:00"/>
    <x v="83"/>
  </r>
  <r>
    <x v="2"/>
    <x v="8"/>
    <x v="81"/>
    <x v="79"/>
    <n v="0"/>
    <n v="30"/>
    <n v="8356"/>
    <x v="78"/>
    <x v="83"/>
    <n v="0"/>
    <d v="2015-01-01T00:00:00"/>
    <x v="84"/>
  </r>
  <r>
    <x v="2"/>
    <x v="9"/>
    <x v="82"/>
    <x v="80"/>
    <n v="0"/>
    <n v="61"/>
    <n v="595"/>
    <x v="79"/>
    <x v="84"/>
    <n v="0"/>
    <d v="2015-01-01T00:00:00"/>
    <x v="85"/>
  </r>
  <r>
    <x v="2"/>
    <x v="10"/>
    <x v="83"/>
    <x v="81"/>
    <n v="0"/>
    <n v="55"/>
    <n v="1400"/>
    <x v="80"/>
    <x v="85"/>
    <n v="0"/>
    <d v="2015-01-01T00:00:00"/>
    <x v="86"/>
  </r>
  <r>
    <x v="2"/>
    <x v="11"/>
    <x v="84"/>
    <x v="82"/>
    <n v="0"/>
    <n v="58"/>
    <n v="1319"/>
    <x v="81"/>
    <x v="86"/>
    <n v="0"/>
    <d v="2015-01-01T00:00:00"/>
    <x v="87"/>
  </r>
  <r>
    <x v="2"/>
    <x v="12"/>
    <x v="85"/>
    <x v="83"/>
    <n v="0"/>
    <n v="232"/>
    <n v="35664"/>
    <x v="82"/>
    <x v="87"/>
    <n v="0"/>
    <d v="2015-01-01T00:00:00"/>
    <x v="88"/>
  </r>
  <r>
    <x v="2"/>
    <x v="13"/>
    <x v="86"/>
    <x v="84"/>
    <n v="0"/>
    <n v="2770"/>
    <n v="5211"/>
    <x v="83"/>
    <x v="88"/>
    <n v="0"/>
    <d v="2015-01-01T00:00:00"/>
    <x v="89"/>
  </r>
  <r>
    <x v="2"/>
    <x v="14"/>
    <x v="87"/>
    <x v="85"/>
    <n v="0"/>
    <n v="0"/>
    <n v="32440"/>
    <x v="84"/>
    <x v="89"/>
    <n v="0"/>
    <d v="2015-01-01T00:00:00"/>
    <x v="90"/>
  </r>
  <r>
    <x v="2"/>
    <x v="15"/>
    <x v="88"/>
    <x v="86"/>
    <n v="0"/>
    <n v="60"/>
    <n v="2188"/>
    <x v="85"/>
    <x v="90"/>
    <n v="0"/>
    <d v="2015-01-01T00:00:00"/>
    <x v="91"/>
  </r>
  <r>
    <x v="2"/>
    <x v="16"/>
    <x v="89"/>
    <x v="87"/>
    <n v="0"/>
    <n v="202"/>
    <n v="6477"/>
    <x v="48"/>
    <x v="91"/>
    <n v="0"/>
    <d v="2015-01-01T00:00:00"/>
    <x v="92"/>
  </r>
  <r>
    <x v="2"/>
    <x v="17"/>
    <x v="90"/>
    <x v="88"/>
    <n v="0"/>
    <n v="2745"/>
    <n v="10644"/>
    <x v="86"/>
    <x v="92"/>
    <n v="0"/>
    <d v="2015-01-01T00:00:00"/>
    <x v="93"/>
  </r>
  <r>
    <x v="2"/>
    <x v="18"/>
    <x v="91"/>
    <x v="89"/>
    <n v="0"/>
    <n v="53"/>
    <n v="30884"/>
    <x v="87"/>
    <x v="93"/>
    <n v="0"/>
    <d v="2015-01-01T00:00:00"/>
    <x v="94"/>
  </r>
  <r>
    <x v="2"/>
    <x v="19"/>
    <x v="92"/>
    <x v="90"/>
    <n v="0"/>
    <n v="240"/>
    <n v="6392"/>
    <x v="88"/>
    <x v="94"/>
    <n v="0"/>
    <d v="2015-01-01T00:00:00"/>
    <x v="95"/>
  </r>
  <r>
    <x v="2"/>
    <x v="20"/>
    <x v="93"/>
    <x v="91"/>
    <n v="0"/>
    <n v="13"/>
    <n v="9292"/>
    <x v="89"/>
    <x v="95"/>
    <n v="0"/>
    <d v="2015-01-01T00:00:00"/>
    <x v="96"/>
  </r>
  <r>
    <x v="2"/>
    <x v="21"/>
    <x v="94"/>
    <x v="92"/>
    <n v="0"/>
    <n v="0"/>
    <n v="0"/>
    <x v="90"/>
    <x v="96"/>
    <n v="0"/>
    <d v="2015-01-01T00:00:00"/>
    <x v="97"/>
  </r>
  <r>
    <x v="2"/>
    <x v="22"/>
    <x v="95"/>
    <x v="93"/>
    <n v="0"/>
    <n v="97"/>
    <n v="16522"/>
    <x v="91"/>
    <x v="97"/>
    <n v="0"/>
    <d v="2015-01-01T00:00:00"/>
    <x v="98"/>
  </r>
  <r>
    <x v="2"/>
    <x v="23"/>
    <x v="96"/>
    <x v="94"/>
    <n v="0"/>
    <n v="0"/>
    <n v="5059"/>
    <x v="92"/>
    <x v="98"/>
    <n v="0"/>
    <d v="2015-01-01T00:00:00"/>
    <x v="99"/>
  </r>
  <r>
    <x v="2"/>
    <x v="24"/>
    <x v="97"/>
    <x v="95"/>
    <n v="0"/>
    <n v="1"/>
    <n v="1349"/>
    <x v="93"/>
    <x v="99"/>
    <n v="0"/>
    <d v="2015-01-01T00:00:00"/>
    <x v="100"/>
  </r>
  <r>
    <x v="2"/>
    <x v="25"/>
    <x v="98"/>
    <x v="96"/>
    <n v="0"/>
    <n v="89"/>
    <n v="2136"/>
    <x v="94"/>
    <x v="100"/>
    <n v="0"/>
    <d v="2015-01-01T00:00:00"/>
    <x v="101"/>
  </r>
  <r>
    <x v="2"/>
    <x v="26"/>
    <x v="60"/>
    <x v="97"/>
    <n v="0"/>
    <n v="13"/>
    <n v="753"/>
    <x v="26"/>
    <x v="101"/>
    <n v="0"/>
    <d v="2015-01-01T00:00:00"/>
    <x v="102"/>
  </r>
  <r>
    <x v="2"/>
    <x v="27"/>
    <x v="99"/>
    <x v="98"/>
    <n v="0"/>
    <n v="119"/>
    <n v="8598"/>
    <x v="95"/>
    <x v="102"/>
    <n v="0"/>
    <d v="2015-01-01T00:00:00"/>
    <x v="103"/>
  </r>
  <r>
    <x v="2"/>
    <x v="28"/>
    <x v="100"/>
    <x v="99"/>
    <n v="0"/>
    <n v="58"/>
    <n v="3934"/>
    <x v="96"/>
    <x v="103"/>
    <n v="0"/>
    <d v="2015-01-01T00:00:00"/>
    <x v="104"/>
  </r>
  <r>
    <x v="2"/>
    <x v="29"/>
    <x v="101"/>
    <x v="100"/>
    <n v="0"/>
    <n v="131"/>
    <n v="18376"/>
    <x v="97"/>
    <x v="104"/>
    <n v="0"/>
    <d v="2015-01-01T00:00:00"/>
    <x v="105"/>
  </r>
  <r>
    <x v="2"/>
    <x v="30"/>
    <x v="102"/>
    <x v="101"/>
    <n v="0"/>
    <n v="370"/>
    <n v="12570"/>
    <x v="98"/>
    <x v="105"/>
    <n v="0"/>
    <d v="2015-01-01T00:00:00"/>
    <x v="106"/>
  </r>
  <r>
    <x v="2"/>
    <x v="31"/>
    <x v="103"/>
    <x v="102"/>
    <n v="0"/>
    <n v="5450"/>
    <n v="2730"/>
    <x v="99"/>
    <x v="106"/>
    <n v="0"/>
    <d v="2015-01-01T00:00:00"/>
    <x v="107"/>
  </r>
  <r>
    <x v="2"/>
    <x v="32"/>
    <x v="104"/>
    <x v="103"/>
    <n v="0"/>
    <n v="10506"/>
    <n v="11585"/>
    <x v="100"/>
    <x v="107"/>
    <n v="0"/>
    <d v="2015-01-01T00:00:00"/>
    <x v="108"/>
  </r>
  <r>
    <x v="2"/>
    <x v="33"/>
    <x v="105"/>
    <x v="104"/>
    <n v="0"/>
    <n v="54"/>
    <n v="12486"/>
    <x v="101"/>
    <x v="108"/>
    <n v="0"/>
    <d v="2015-01-01T00:00:00"/>
    <x v="109"/>
  </r>
  <r>
    <x v="2"/>
    <x v="34"/>
    <x v="106"/>
    <x v="105"/>
    <n v="0"/>
    <n v="2363"/>
    <n v="2813"/>
    <x v="102"/>
    <x v="109"/>
    <n v="0"/>
    <d v="2015-01-01T00:00:00"/>
    <x v="110"/>
  </r>
  <r>
    <x v="2"/>
    <x v="35"/>
    <x v="107"/>
    <x v="35"/>
    <n v="0"/>
    <n v="0"/>
    <n v="0"/>
    <x v="35"/>
    <x v="110"/>
    <n v="0"/>
    <d v="2015-01-01T00:00:00"/>
    <x v="111"/>
  </r>
  <r>
    <x v="2"/>
    <x v="36"/>
    <x v="36"/>
    <x v="35"/>
    <n v="0"/>
    <n v="0"/>
    <n v="5012"/>
    <x v="35"/>
    <x v="37"/>
    <n v="63767"/>
    <d v="2015-01-01T00:00:00"/>
    <x v="112"/>
  </r>
  <r>
    <x v="2"/>
    <x v="37"/>
    <x v="36"/>
    <x v="35"/>
    <n v="81804"/>
    <n v="0"/>
    <n v="0"/>
    <x v="35"/>
    <x v="37"/>
    <n v="28158"/>
    <d v="2015-01-01T00:00:00"/>
    <x v="113"/>
  </r>
  <r>
    <x v="3"/>
    <x v="0"/>
    <x v="108"/>
    <x v="35"/>
    <n v="0"/>
    <n v="0"/>
    <n v="1023"/>
    <x v="49"/>
    <x v="111"/>
    <n v="0"/>
    <d v="2016-01-01T00:00:00"/>
    <x v="114"/>
  </r>
  <r>
    <x v="3"/>
    <x v="39"/>
    <x v="109"/>
    <x v="35"/>
    <n v="0"/>
    <n v="0"/>
    <n v="2478"/>
    <x v="88"/>
    <x v="112"/>
    <n v="0"/>
    <d v="2016-01-01T00:00:00"/>
    <x v="115"/>
  </r>
  <r>
    <x v="3"/>
    <x v="2"/>
    <x v="110"/>
    <x v="35"/>
    <n v="0"/>
    <n v="0"/>
    <n v="868"/>
    <x v="103"/>
    <x v="113"/>
    <n v="0"/>
    <d v="2016-01-01T00:00:00"/>
    <x v="116"/>
  </r>
  <r>
    <x v="3"/>
    <x v="3"/>
    <x v="111"/>
    <x v="35"/>
    <n v="0"/>
    <n v="0"/>
    <n v="4602"/>
    <x v="38"/>
    <x v="114"/>
    <n v="0"/>
    <d v="2016-01-01T00:00:00"/>
    <x v="117"/>
  </r>
  <r>
    <x v="3"/>
    <x v="4"/>
    <x v="112"/>
    <x v="35"/>
    <n v="0"/>
    <n v="0"/>
    <n v="52128"/>
    <x v="104"/>
    <x v="115"/>
    <n v="0"/>
    <d v="2016-01-01T00:00:00"/>
    <x v="118"/>
  </r>
  <r>
    <x v="3"/>
    <x v="5"/>
    <x v="113"/>
    <x v="35"/>
    <n v="0"/>
    <n v="0"/>
    <n v="4738"/>
    <x v="105"/>
    <x v="116"/>
    <n v="0"/>
    <d v="2016-01-01T00:00:00"/>
    <x v="119"/>
  </r>
  <r>
    <x v="3"/>
    <x v="6"/>
    <x v="114"/>
    <x v="35"/>
    <n v="0"/>
    <n v="0"/>
    <n v="3564"/>
    <x v="106"/>
    <x v="117"/>
    <n v="0"/>
    <d v="2016-01-01T00:00:00"/>
    <x v="120"/>
  </r>
  <r>
    <x v="3"/>
    <x v="7"/>
    <x v="115"/>
    <x v="35"/>
    <n v="0"/>
    <n v="0"/>
    <n v="12624"/>
    <x v="107"/>
    <x v="118"/>
    <n v="0"/>
    <d v="2016-01-01T00:00:00"/>
    <x v="121"/>
  </r>
  <r>
    <x v="3"/>
    <x v="8"/>
    <x v="116"/>
    <x v="35"/>
    <n v="0"/>
    <n v="0"/>
    <n v="3800"/>
    <x v="108"/>
    <x v="119"/>
    <n v="0"/>
    <d v="2016-01-01T00:00:00"/>
    <x v="122"/>
  </r>
  <r>
    <x v="3"/>
    <x v="9"/>
    <x v="117"/>
    <x v="35"/>
    <n v="0"/>
    <n v="0"/>
    <n v="9034"/>
    <x v="109"/>
    <x v="120"/>
    <n v="0"/>
    <d v="2016-01-01T00:00:00"/>
    <x v="123"/>
  </r>
  <r>
    <x v="3"/>
    <x v="10"/>
    <x v="118"/>
    <x v="35"/>
    <n v="0"/>
    <n v="0"/>
    <n v="1400"/>
    <x v="110"/>
    <x v="121"/>
    <n v="0"/>
    <d v="2016-01-01T00:00:00"/>
    <x v="124"/>
  </r>
  <r>
    <x v="3"/>
    <x v="11"/>
    <x v="119"/>
    <x v="35"/>
    <n v="0"/>
    <n v="0"/>
    <n v="3264"/>
    <x v="111"/>
    <x v="122"/>
    <n v="0"/>
    <d v="2016-01-01T00:00:00"/>
    <x v="125"/>
  </r>
  <r>
    <x v="3"/>
    <x v="12"/>
    <x v="120"/>
    <x v="35"/>
    <n v="0"/>
    <n v="0"/>
    <n v="8657"/>
    <x v="112"/>
    <x v="123"/>
    <n v="0"/>
    <d v="2016-01-01T00:00:00"/>
    <x v="126"/>
  </r>
  <r>
    <x v="3"/>
    <x v="13"/>
    <x v="121"/>
    <x v="35"/>
    <n v="0"/>
    <n v="0"/>
    <n v="5180"/>
    <x v="113"/>
    <x v="124"/>
    <n v="0"/>
    <d v="2016-01-01T00:00:00"/>
    <x v="127"/>
  </r>
  <r>
    <x v="3"/>
    <x v="14"/>
    <x v="122"/>
    <x v="35"/>
    <n v="0"/>
    <n v="0"/>
    <n v="5618"/>
    <x v="114"/>
    <x v="125"/>
    <n v="0"/>
    <d v="2016-01-01T00:00:00"/>
    <x v="128"/>
  </r>
  <r>
    <x v="3"/>
    <x v="15"/>
    <x v="123"/>
    <x v="35"/>
    <n v="0"/>
    <n v="0"/>
    <n v="1835"/>
    <x v="115"/>
    <x v="126"/>
    <n v="0"/>
    <d v="2016-01-01T00:00:00"/>
    <x v="129"/>
  </r>
  <r>
    <x v="3"/>
    <x v="16"/>
    <x v="124"/>
    <x v="35"/>
    <n v="0"/>
    <n v="0"/>
    <n v="3316"/>
    <x v="116"/>
    <x v="127"/>
    <n v="0"/>
    <d v="2016-01-01T00:00:00"/>
    <x v="130"/>
  </r>
  <r>
    <x v="3"/>
    <x v="17"/>
    <x v="125"/>
    <x v="35"/>
    <n v="0"/>
    <n v="0"/>
    <n v="3604"/>
    <x v="117"/>
    <x v="128"/>
    <n v="0"/>
    <d v="2016-01-01T00:00:00"/>
    <x v="131"/>
  </r>
  <r>
    <x v="3"/>
    <x v="18"/>
    <x v="126"/>
    <x v="35"/>
    <n v="0"/>
    <n v="0"/>
    <n v="26559"/>
    <x v="118"/>
    <x v="129"/>
    <n v="0"/>
    <d v="2016-01-01T00:00:00"/>
    <x v="132"/>
  </r>
  <r>
    <x v="3"/>
    <x v="19"/>
    <x v="127"/>
    <x v="35"/>
    <n v="0"/>
    <n v="0"/>
    <n v="4984"/>
    <x v="119"/>
    <x v="130"/>
    <n v="0"/>
    <d v="2016-01-01T00:00:00"/>
    <x v="133"/>
  </r>
  <r>
    <x v="3"/>
    <x v="20"/>
    <x v="128"/>
    <x v="35"/>
    <n v="0"/>
    <n v="0"/>
    <n v="7915"/>
    <x v="120"/>
    <x v="131"/>
    <n v="0"/>
    <d v="2016-01-01T00:00:00"/>
    <x v="134"/>
  </r>
  <r>
    <x v="3"/>
    <x v="21"/>
    <x v="129"/>
    <x v="35"/>
    <n v="0"/>
    <n v="0"/>
    <n v="0"/>
    <x v="121"/>
    <x v="132"/>
    <n v="0"/>
    <d v="2016-01-01T00:00:00"/>
    <x v="135"/>
  </r>
  <r>
    <x v="3"/>
    <x v="22"/>
    <x v="130"/>
    <x v="35"/>
    <n v="0"/>
    <n v="0"/>
    <n v="6998"/>
    <x v="122"/>
    <x v="133"/>
    <n v="0"/>
    <d v="2016-01-01T00:00:00"/>
    <x v="136"/>
  </r>
  <r>
    <x v="3"/>
    <x v="23"/>
    <x v="131"/>
    <x v="35"/>
    <n v="0"/>
    <n v="0"/>
    <n v="3872"/>
    <x v="123"/>
    <x v="134"/>
    <n v="0"/>
    <d v="2016-01-01T00:00:00"/>
    <x v="137"/>
  </r>
  <r>
    <x v="3"/>
    <x v="24"/>
    <x v="132"/>
    <x v="35"/>
    <n v="0"/>
    <n v="0"/>
    <n v="1392"/>
    <x v="124"/>
    <x v="135"/>
    <n v="0"/>
    <d v="2016-01-01T00:00:00"/>
    <x v="138"/>
  </r>
  <r>
    <x v="3"/>
    <x v="25"/>
    <x v="133"/>
    <x v="35"/>
    <n v="0"/>
    <n v="0"/>
    <n v="8415"/>
    <x v="125"/>
    <x v="136"/>
    <n v="0"/>
    <d v="2016-01-01T00:00:00"/>
    <x v="139"/>
  </r>
  <r>
    <x v="3"/>
    <x v="26"/>
    <x v="134"/>
    <x v="35"/>
    <n v="0"/>
    <n v="0"/>
    <n v="680"/>
    <x v="126"/>
    <x v="137"/>
    <n v="0"/>
    <d v="2016-01-01T00:00:00"/>
    <x v="140"/>
  </r>
  <r>
    <x v="3"/>
    <x v="27"/>
    <x v="135"/>
    <x v="35"/>
    <n v="0"/>
    <n v="0"/>
    <n v="6991"/>
    <x v="127"/>
    <x v="138"/>
    <n v="0"/>
    <d v="2016-01-01T00:00:00"/>
    <x v="141"/>
  </r>
  <r>
    <x v="3"/>
    <x v="28"/>
    <x v="136"/>
    <x v="35"/>
    <n v="0"/>
    <n v="0"/>
    <n v="1468"/>
    <x v="128"/>
    <x v="139"/>
    <n v="0"/>
    <d v="2016-01-01T00:00:00"/>
    <x v="142"/>
  </r>
  <r>
    <x v="3"/>
    <x v="29"/>
    <x v="137"/>
    <x v="35"/>
    <n v="0"/>
    <n v="0"/>
    <n v="15226"/>
    <x v="129"/>
    <x v="140"/>
    <n v="0"/>
    <d v="2016-01-01T00:00:00"/>
    <x v="143"/>
  </r>
  <r>
    <x v="3"/>
    <x v="30"/>
    <x v="138"/>
    <x v="35"/>
    <n v="0"/>
    <n v="0"/>
    <n v="8785"/>
    <x v="130"/>
    <x v="141"/>
    <n v="0"/>
    <d v="2016-01-01T00:00:00"/>
    <x v="144"/>
  </r>
  <r>
    <x v="3"/>
    <x v="40"/>
    <x v="139"/>
    <x v="35"/>
    <n v="0"/>
    <n v="0"/>
    <n v="2728"/>
    <x v="131"/>
    <x v="142"/>
    <n v="0"/>
    <d v="2016-01-01T00:00:00"/>
    <x v="145"/>
  </r>
  <r>
    <x v="3"/>
    <x v="41"/>
    <x v="140"/>
    <x v="35"/>
    <n v="0"/>
    <n v="0"/>
    <n v="6100"/>
    <x v="132"/>
    <x v="143"/>
    <n v="0"/>
    <d v="2016-01-01T00:00:00"/>
    <x v="146"/>
  </r>
  <r>
    <x v="3"/>
    <x v="42"/>
    <x v="141"/>
    <x v="35"/>
    <n v="0"/>
    <n v="0"/>
    <n v="9727"/>
    <x v="133"/>
    <x v="144"/>
    <n v="0"/>
    <d v="2016-01-01T00:00:00"/>
    <x v="147"/>
  </r>
  <r>
    <x v="3"/>
    <x v="43"/>
    <x v="142"/>
    <x v="35"/>
    <n v="0"/>
    <n v="0"/>
    <n v="3707"/>
    <x v="134"/>
    <x v="145"/>
    <n v="0"/>
    <d v="2016-01-01T00:00:00"/>
    <x v="148"/>
  </r>
  <r>
    <x v="3"/>
    <x v="35"/>
    <x v="143"/>
    <x v="35"/>
    <n v="0"/>
    <n v="0"/>
    <n v="0"/>
    <x v="35"/>
    <x v="146"/>
    <n v="0"/>
    <d v="2016-01-01T00:00:00"/>
    <x v="149"/>
  </r>
  <r>
    <x v="3"/>
    <x v="44"/>
    <x v="36"/>
    <x v="35"/>
    <n v="0"/>
    <n v="0"/>
    <n v="6060"/>
    <x v="35"/>
    <x v="37"/>
    <n v="41507"/>
    <d v="2016-01-01T00:00:00"/>
    <x v="150"/>
  </r>
  <r>
    <x v="3"/>
    <x v="37"/>
    <x v="36"/>
    <x v="35"/>
    <n v="0"/>
    <n v="73308"/>
    <n v="0"/>
    <x v="35"/>
    <x v="37"/>
    <n v="0"/>
    <d v="2016-01-01T00:00:00"/>
    <x v="151"/>
  </r>
  <r>
    <x v="4"/>
    <x v="0"/>
    <x v="144"/>
    <x v="106"/>
    <n v="0"/>
    <n v="163"/>
    <n v="4376"/>
    <x v="135"/>
    <x v="147"/>
    <n v="0"/>
    <d v="2017-01-01T00:00:00"/>
    <x v="152"/>
  </r>
  <r>
    <x v="4"/>
    <x v="39"/>
    <x v="145"/>
    <x v="107"/>
    <n v="0"/>
    <n v="68"/>
    <n v="4873"/>
    <x v="136"/>
    <x v="148"/>
    <n v="0"/>
    <d v="2017-01-01T00:00:00"/>
    <x v="153"/>
  </r>
  <r>
    <x v="4"/>
    <x v="2"/>
    <x v="146"/>
    <x v="108"/>
    <n v="0"/>
    <n v="8"/>
    <n v="1617"/>
    <x v="137"/>
    <x v="149"/>
    <n v="0"/>
    <d v="2017-01-01T00:00:00"/>
    <x v="154"/>
  </r>
  <r>
    <x v="4"/>
    <x v="3"/>
    <x v="147"/>
    <x v="109"/>
    <n v="0"/>
    <n v="71"/>
    <n v="6956"/>
    <x v="138"/>
    <x v="150"/>
    <n v="0"/>
    <d v="2017-01-01T00:00:00"/>
    <x v="155"/>
  </r>
  <r>
    <x v="4"/>
    <x v="4"/>
    <x v="148"/>
    <x v="110"/>
    <n v="0"/>
    <n v="10"/>
    <n v="43535"/>
    <x v="139"/>
    <x v="151"/>
    <n v="0"/>
    <d v="2017-01-01T00:00:00"/>
    <x v="156"/>
  </r>
  <r>
    <x v="4"/>
    <x v="5"/>
    <x v="149"/>
    <x v="111"/>
    <n v="0"/>
    <n v="84"/>
    <n v="6429"/>
    <x v="140"/>
    <x v="152"/>
    <n v="0"/>
    <d v="2017-01-01T00:00:00"/>
    <x v="157"/>
  </r>
  <r>
    <x v="4"/>
    <x v="6"/>
    <x v="150"/>
    <x v="112"/>
    <n v="0"/>
    <n v="99"/>
    <n v="2207"/>
    <x v="141"/>
    <x v="153"/>
    <n v="0"/>
    <d v="2017-01-01T00:00:00"/>
    <x v="158"/>
  </r>
  <r>
    <x v="4"/>
    <x v="7"/>
    <x v="151"/>
    <x v="113"/>
    <n v="0"/>
    <n v="180"/>
    <n v="13584"/>
    <x v="43"/>
    <x v="154"/>
    <n v="0"/>
    <d v="2017-01-01T00:00:00"/>
    <x v="159"/>
  </r>
  <r>
    <x v="4"/>
    <x v="8"/>
    <x v="152"/>
    <x v="114"/>
    <n v="0"/>
    <n v="64"/>
    <n v="22291"/>
    <x v="142"/>
    <x v="155"/>
    <n v="0"/>
    <d v="2017-01-01T00:00:00"/>
    <x v="160"/>
  </r>
  <r>
    <x v="4"/>
    <x v="9"/>
    <x v="153"/>
    <x v="115"/>
    <n v="0"/>
    <n v="167"/>
    <n v="10913"/>
    <x v="143"/>
    <x v="156"/>
    <n v="0"/>
    <d v="2017-01-01T00:00:00"/>
    <x v="161"/>
  </r>
  <r>
    <x v="4"/>
    <x v="10"/>
    <x v="154"/>
    <x v="116"/>
    <n v="0"/>
    <n v="77"/>
    <n v="2214"/>
    <x v="144"/>
    <x v="157"/>
    <n v="0"/>
    <d v="2017-01-01T00:00:00"/>
    <x v="162"/>
  </r>
  <r>
    <x v="4"/>
    <x v="11"/>
    <x v="155"/>
    <x v="117"/>
    <n v="0"/>
    <n v="81"/>
    <n v="1583"/>
    <x v="145"/>
    <x v="158"/>
    <n v="0"/>
    <d v="2017-01-01T00:00:00"/>
    <x v="163"/>
  </r>
  <r>
    <x v="4"/>
    <x v="12"/>
    <x v="156"/>
    <x v="118"/>
    <n v="0"/>
    <n v="152"/>
    <n v="7872"/>
    <x v="146"/>
    <x v="159"/>
    <n v="0"/>
    <d v="2017-01-01T00:00:00"/>
    <x v="164"/>
  </r>
  <r>
    <x v="4"/>
    <x v="13"/>
    <x v="157"/>
    <x v="119"/>
    <n v="0"/>
    <n v="3555"/>
    <n v="6288"/>
    <x v="147"/>
    <x v="160"/>
    <n v="0"/>
    <d v="2017-01-01T00:00:00"/>
    <x v="165"/>
  </r>
  <r>
    <x v="4"/>
    <x v="14"/>
    <x v="158"/>
    <x v="120"/>
    <n v="0"/>
    <n v="5"/>
    <n v="9461"/>
    <x v="148"/>
    <x v="161"/>
    <n v="0"/>
    <d v="2017-01-01T00:00:00"/>
    <x v="166"/>
  </r>
  <r>
    <x v="4"/>
    <x v="15"/>
    <x v="159"/>
    <x v="121"/>
    <n v="0"/>
    <n v="54"/>
    <n v="2028"/>
    <x v="149"/>
    <x v="162"/>
    <n v="0"/>
    <d v="2017-01-01T00:00:00"/>
    <x v="167"/>
  </r>
  <r>
    <x v="4"/>
    <x v="16"/>
    <x v="160"/>
    <x v="122"/>
    <n v="0"/>
    <n v="265"/>
    <n v="2488"/>
    <x v="150"/>
    <x v="163"/>
    <n v="0"/>
    <d v="2017-01-01T00:00:00"/>
    <x v="168"/>
  </r>
  <r>
    <x v="4"/>
    <x v="17"/>
    <x v="161"/>
    <x v="123"/>
    <n v="0"/>
    <n v="1174"/>
    <n v="4570"/>
    <x v="151"/>
    <x v="164"/>
    <n v="0"/>
    <d v="2017-01-01T00:00:00"/>
    <x v="169"/>
  </r>
  <r>
    <x v="4"/>
    <x v="18"/>
    <x v="162"/>
    <x v="124"/>
    <n v="0"/>
    <n v="110"/>
    <n v="50835"/>
    <x v="152"/>
    <x v="165"/>
    <n v="0"/>
    <d v="2017-01-01T00:00:00"/>
    <x v="170"/>
  </r>
  <r>
    <x v="4"/>
    <x v="19"/>
    <x v="163"/>
    <x v="125"/>
    <n v="0"/>
    <n v="364"/>
    <n v="5724"/>
    <x v="153"/>
    <x v="166"/>
    <n v="0"/>
    <d v="2017-01-01T00:00:00"/>
    <x v="171"/>
  </r>
  <r>
    <x v="4"/>
    <x v="20"/>
    <x v="164"/>
    <x v="126"/>
    <n v="0"/>
    <n v="36"/>
    <n v="11962"/>
    <x v="154"/>
    <x v="167"/>
    <n v="0"/>
    <d v="2017-01-01T00:00:00"/>
    <x v="172"/>
  </r>
  <r>
    <x v="4"/>
    <x v="21"/>
    <x v="165"/>
    <x v="127"/>
    <n v="0"/>
    <n v="0"/>
    <n v="120"/>
    <x v="155"/>
    <x v="168"/>
    <n v="0"/>
    <d v="2017-01-01T00:00:00"/>
    <x v="173"/>
  </r>
  <r>
    <x v="4"/>
    <x v="22"/>
    <x v="166"/>
    <x v="128"/>
    <n v="0"/>
    <n v="98"/>
    <n v="7628"/>
    <x v="156"/>
    <x v="169"/>
    <n v="0"/>
    <d v="2017-01-01T00:00:00"/>
    <x v="174"/>
  </r>
  <r>
    <x v="4"/>
    <x v="23"/>
    <x v="167"/>
    <x v="129"/>
    <n v="0"/>
    <n v="0"/>
    <n v="12669"/>
    <x v="157"/>
    <x v="170"/>
    <n v="0"/>
    <d v="2017-01-01T00:00:00"/>
    <x v="175"/>
  </r>
  <r>
    <x v="4"/>
    <x v="24"/>
    <x v="168"/>
    <x v="130"/>
    <n v="0"/>
    <n v="50"/>
    <n v="1940"/>
    <x v="158"/>
    <x v="171"/>
    <n v="0"/>
    <d v="2017-01-01T00:00:00"/>
    <x v="176"/>
  </r>
  <r>
    <x v="4"/>
    <x v="25"/>
    <x v="169"/>
    <x v="131"/>
    <n v="0"/>
    <n v="126"/>
    <n v="6830"/>
    <x v="159"/>
    <x v="172"/>
    <n v="0"/>
    <d v="2017-01-01T00:00:00"/>
    <x v="177"/>
  </r>
  <r>
    <x v="4"/>
    <x v="26"/>
    <x v="170"/>
    <x v="132"/>
    <n v="0"/>
    <n v="10"/>
    <n v="3874"/>
    <x v="26"/>
    <x v="173"/>
    <n v="0"/>
    <d v="2017-01-01T00:00:00"/>
    <x v="178"/>
  </r>
  <r>
    <x v="4"/>
    <x v="27"/>
    <x v="171"/>
    <x v="133"/>
    <n v="0"/>
    <n v="131"/>
    <n v="6243"/>
    <x v="160"/>
    <x v="174"/>
    <n v="0"/>
    <d v="2017-01-01T00:00:00"/>
    <x v="179"/>
  </r>
  <r>
    <x v="4"/>
    <x v="28"/>
    <x v="172"/>
    <x v="134"/>
    <n v="0"/>
    <n v="97"/>
    <n v="3704"/>
    <x v="161"/>
    <x v="175"/>
    <n v="0"/>
    <d v="2017-01-01T00:00:00"/>
    <x v="180"/>
  </r>
  <r>
    <x v="4"/>
    <x v="29"/>
    <x v="173"/>
    <x v="135"/>
    <n v="0"/>
    <n v="85"/>
    <n v="15801"/>
    <x v="162"/>
    <x v="176"/>
    <n v="0"/>
    <d v="2017-01-01T00:00:00"/>
    <x v="181"/>
  </r>
  <r>
    <x v="4"/>
    <x v="30"/>
    <x v="174"/>
    <x v="136"/>
    <n v="0"/>
    <n v="424"/>
    <n v="20491"/>
    <x v="163"/>
    <x v="177"/>
    <n v="0"/>
    <d v="2017-01-01T00:00:00"/>
    <x v="182"/>
  </r>
  <r>
    <x v="4"/>
    <x v="45"/>
    <x v="175"/>
    <x v="137"/>
    <n v="0"/>
    <n v="4230"/>
    <n v="6760"/>
    <x v="164"/>
    <x v="178"/>
    <n v="0"/>
    <d v="2017-01-01T00:00:00"/>
    <x v="183"/>
  </r>
  <r>
    <x v="4"/>
    <x v="46"/>
    <x v="176"/>
    <x v="138"/>
    <n v="0"/>
    <n v="9983"/>
    <n v="5769"/>
    <x v="165"/>
    <x v="179"/>
    <n v="0"/>
    <d v="2017-01-01T00:00:00"/>
    <x v="184"/>
  </r>
  <r>
    <x v="4"/>
    <x v="47"/>
    <x v="177"/>
    <x v="139"/>
    <n v="0"/>
    <n v="147"/>
    <n v="9902"/>
    <x v="166"/>
    <x v="180"/>
    <n v="0"/>
    <d v="2017-01-01T00:00:00"/>
    <x v="185"/>
  </r>
  <r>
    <x v="4"/>
    <x v="48"/>
    <x v="178"/>
    <x v="140"/>
    <n v="0"/>
    <n v="2197"/>
    <n v="16229"/>
    <x v="167"/>
    <x v="181"/>
    <n v="0"/>
    <d v="2017-01-01T00:00:00"/>
    <x v="186"/>
  </r>
  <r>
    <x v="4"/>
    <x v="35"/>
    <x v="179"/>
    <x v="35"/>
    <n v="0"/>
    <n v="0"/>
    <n v="0"/>
    <x v="35"/>
    <x v="182"/>
    <n v="0"/>
    <d v="2017-01-01T00:00:00"/>
    <x v="187"/>
  </r>
  <r>
    <x v="4"/>
    <x v="44"/>
    <x v="36"/>
    <x v="35"/>
    <n v="0"/>
    <n v="0"/>
    <n v="3558"/>
    <x v="35"/>
    <x v="37"/>
    <n v="61754"/>
    <d v="2017-01-01T00:00:00"/>
    <x v="188"/>
  </r>
  <r>
    <x v="4"/>
    <x v="37"/>
    <x v="36"/>
    <x v="35"/>
    <n v="80090"/>
    <n v="0"/>
    <n v="0"/>
    <x v="35"/>
    <x v="183"/>
    <n v="21686"/>
    <d v="2017-01-01T00:00:00"/>
    <x v="189"/>
  </r>
  <r>
    <x v="5"/>
    <x v="0"/>
    <x v="180"/>
    <x v="141"/>
    <n v="0"/>
    <n v="63"/>
    <n v="0"/>
    <x v="168"/>
    <x v="184"/>
    <n v="0"/>
    <d v="2018-01-01T00:00:00"/>
    <x v="190"/>
  </r>
  <r>
    <x v="5"/>
    <x v="39"/>
    <x v="181"/>
    <x v="142"/>
    <n v="0"/>
    <n v="55"/>
    <n v="4987"/>
    <x v="169"/>
    <x v="185"/>
    <n v="0"/>
    <d v="2018-01-01T00:00:00"/>
    <x v="191"/>
  </r>
  <r>
    <x v="5"/>
    <x v="2"/>
    <x v="182"/>
    <x v="143"/>
    <n v="0"/>
    <n v="19"/>
    <n v="836"/>
    <x v="170"/>
    <x v="186"/>
    <n v="0"/>
    <d v="2018-01-01T00:00:00"/>
    <x v="192"/>
  </r>
  <r>
    <x v="5"/>
    <x v="3"/>
    <x v="183"/>
    <x v="144"/>
    <n v="0"/>
    <n v="52"/>
    <n v="10027"/>
    <x v="171"/>
    <x v="187"/>
    <n v="0"/>
    <d v="2018-01-01T00:00:00"/>
    <x v="193"/>
  </r>
  <r>
    <x v="5"/>
    <x v="4"/>
    <x v="184"/>
    <x v="145"/>
    <n v="0"/>
    <n v="36"/>
    <n v="45159"/>
    <x v="172"/>
    <x v="188"/>
    <n v="0"/>
    <d v="2018-01-01T00:00:00"/>
    <x v="194"/>
  </r>
  <r>
    <x v="5"/>
    <x v="5"/>
    <x v="185"/>
    <x v="146"/>
    <n v="0"/>
    <n v="29"/>
    <n v="7827"/>
    <x v="173"/>
    <x v="189"/>
    <n v="0"/>
    <d v="2018-01-01T00:00:00"/>
    <x v="195"/>
  </r>
  <r>
    <x v="5"/>
    <x v="6"/>
    <x v="186"/>
    <x v="147"/>
    <n v="0"/>
    <n v="153"/>
    <n v="2074"/>
    <x v="174"/>
    <x v="190"/>
    <n v="0"/>
    <d v="2018-01-01T00:00:00"/>
    <x v="196"/>
  </r>
  <r>
    <x v="5"/>
    <x v="7"/>
    <x v="187"/>
    <x v="148"/>
    <n v="0"/>
    <n v="163"/>
    <n v="9040"/>
    <x v="43"/>
    <x v="191"/>
    <n v="0"/>
    <d v="2018-01-01T00:00:00"/>
    <x v="197"/>
  </r>
  <r>
    <x v="5"/>
    <x v="8"/>
    <x v="188"/>
    <x v="149"/>
    <n v="0"/>
    <n v="84"/>
    <n v="21983"/>
    <x v="175"/>
    <x v="192"/>
    <n v="0"/>
    <d v="2018-01-01T00:00:00"/>
    <x v="198"/>
  </r>
  <r>
    <x v="5"/>
    <x v="9"/>
    <x v="189"/>
    <x v="150"/>
    <n v="0"/>
    <n v="108"/>
    <n v="4111"/>
    <x v="176"/>
    <x v="193"/>
    <n v="0"/>
    <d v="2018-01-01T00:00:00"/>
    <x v="199"/>
  </r>
  <r>
    <x v="5"/>
    <x v="10"/>
    <x v="190"/>
    <x v="151"/>
    <n v="0"/>
    <n v="86"/>
    <n v="2340"/>
    <x v="177"/>
    <x v="194"/>
    <n v="0"/>
    <d v="2018-01-01T00:00:00"/>
    <x v="200"/>
  </r>
  <r>
    <x v="5"/>
    <x v="11"/>
    <x v="191"/>
    <x v="152"/>
    <n v="0"/>
    <n v="101"/>
    <n v="1898"/>
    <x v="178"/>
    <x v="195"/>
    <n v="0"/>
    <d v="2018-01-01T00:00:00"/>
    <x v="201"/>
  </r>
  <r>
    <x v="5"/>
    <x v="12"/>
    <x v="192"/>
    <x v="153"/>
    <n v="0"/>
    <n v="164"/>
    <n v="9171"/>
    <x v="179"/>
    <x v="196"/>
    <n v="0"/>
    <d v="2018-01-01T00:00:00"/>
    <x v="202"/>
  </r>
  <r>
    <x v="5"/>
    <x v="13"/>
    <x v="193"/>
    <x v="154"/>
    <n v="0"/>
    <n v="3131"/>
    <n v="8336"/>
    <x v="180"/>
    <x v="197"/>
    <n v="0"/>
    <d v="2018-01-01T00:00:00"/>
    <x v="203"/>
  </r>
  <r>
    <x v="5"/>
    <x v="14"/>
    <x v="194"/>
    <x v="155"/>
    <n v="0"/>
    <n v="10"/>
    <n v="6279"/>
    <x v="181"/>
    <x v="198"/>
    <n v="0"/>
    <d v="2018-01-01T00:00:00"/>
    <x v="204"/>
  </r>
  <r>
    <x v="5"/>
    <x v="15"/>
    <x v="195"/>
    <x v="156"/>
    <n v="0"/>
    <n v="62"/>
    <n v="1803"/>
    <x v="182"/>
    <x v="199"/>
    <n v="0"/>
    <d v="2018-01-01T00:00:00"/>
    <x v="205"/>
  </r>
  <r>
    <x v="5"/>
    <x v="16"/>
    <x v="196"/>
    <x v="157"/>
    <n v="0"/>
    <n v="249"/>
    <n v="2904"/>
    <x v="183"/>
    <x v="200"/>
    <n v="0"/>
    <d v="2018-01-01T00:00:00"/>
    <x v="206"/>
  </r>
  <r>
    <x v="5"/>
    <x v="17"/>
    <x v="197"/>
    <x v="158"/>
    <n v="0"/>
    <n v="1825"/>
    <n v="3221"/>
    <x v="184"/>
    <x v="201"/>
    <n v="0"/>
    <d v="2018-01-01T00:00:00"/>
    <x v="207"/>
  </r>
  <r>
    <x v="5"/>
    <x v="18"/>
    <x v="198"/>
    <x v="159"/>
    <n v="0"/>
    <n v="103"/>
    <n v="51000"/>
    <x v="185"/>
    <x v="202"/>
    <n v="0"/>
    <d v="2018-01-01T00:00:00"/>
    <x v="208"/>
  </r>
  <r>
    <x v="5"/>
    <x v="19"/>
    <x v="199"/>
    <x v="160"/>
    <n v="0"/>
    <n v="210"/>
    <n v="6824"/>
    <x v="186"/>
    <x v="203"/>
    <n v="0"/>
    <d v="2018-01-01T00:00:00"/>
    <x v="209"/>
  </r>
  <r>
    <x v="5"/>
    <x v="20"/>
    <x v="200"/>
    <x v="161"/>
    <n v="0"/>
    <n v="15"/>
    <n v="7835"/>
    <x v="187"/>
    <x v="204"/>
    <n v="0"/>
    <d v="2018-01-01T00:00:00"/>
    <x v="210"/>
  </r>
  <r>
    <x v="5"/>
    <x v="21"/>
    <x v="201"/>
    <x v="162"/>
    <n v="0"/>
    <n v="0"/>
    <n v="11445"/>
    <x v="188"/>
    <x v="205"/>
    <n v="0"/>
    <d v="2018-01-01T00:00:00"/>
    <x v="211"/>
  </r>
  <r>
    <x v="5"/>
    <x v="22"/>
    <x v="202"/>
    <x v="163"/>
    <n v="0"/>
    <n v="117"/>
    <n v="7158"/>
    <x v="189"/>
    <x v="206"/>
    <n v="0"/>
    <d v="2018-01-01T00:00:00"/>
    <x v="212"/>
  </r>
  <r>
    <x v="5"/>
    <x v="23"/>
    <x v="203"/>
    <x v="164"/>
    <n v="0"/>
    <n v="0"/>
    <n v="13449"/>
    <x v="190"/>
    <x v="207"/>
    <n v="0"/>
    <d v="2018-01-01T00:00:00"/>
    <x v="213"/>
  </r>
  <r>
    <x v="5"/>
    <x v="24"/>
    <x v="204"/>
    <x v="165"/>
    <n v="0"/>
    <n v="19"/>
    <n v="917"/>
    <x v="191"/>
    <x v="208"/>
    <n v="0"/>
    <d v="2018-01-01T00:00:00"/>
    <x v="214"/>
  </r>
  <r>
    <x v="5"/>
    <x v="25"/>
    <x v="205"/>
    <x v="166"/>
    <n v="0"/>
    <n v="117"/>
    <n v="5760"/>
    <x v="192"/>
    <x v="209"/>
    <n v="0"/>
    <d v="2018-01-01T00:00:00"/>
    <x v="215"/>
  </r>
  <r>
    <x v="5"/>
    <x v="26"/>
    <x v="206"/>
    <x v="167"/>
    <n v="0"/>
    <n v="13"/>
    <n v="2271"/>
    <x v="26"/>
    <x v="210"/>
    <n v="0"/>
    <d v="2018-01-01T00:00:00"/>
    <x v="216"/>
  </r>
  <r>
    <x v="5"/>
    <x v="27"/>
    <x v="207"/>
    <x v="168"/>
    <n v="0"/>
    <n v="369"/>
    <n v="6276"/>
    <x v="193"/>
    <x v="211"/>
    <n v="0"/>
    <d v="2018-01-01T00:00:00"/>
    <x v="217"/>
  </r>
  <r>
    <x v="5"/>
    <x v="28"/>
    <x v="208"/>
    <x v="169"/>
    <n v="0"/>
    <n v="72"/>
    <n v="4193"/>
    <x v="194"/>
    <x v="212"/>
    <n v="0"/>
    <d v="2018-01-01T00:00:00"/>
    <x v="218"/>
  </r>
  <r>
    <x v="5"/>
    <x v="29"/>
    <x v="209"/>
    <x v="170"/>
    <n v="0"/>
    <n v="92"/>
    <n v="14637"/>
    <x v="195"/>
    <x v="213"/>
    <n v="0"/>
    <d v="2018-01-01T00:00:00"/>
    <x v="219"/>
  </r>
  <r>
    <x v="5"/>
    <x v="30"/>
    <x v="210"/>
    <x v="171"/>
    <n v="0"/>
    <n v="439"/>
    <n v="11412"/>
    <x v="196"/>
    <x v="214"/>
    <n v="0"/>
    <d v="2018-01-01T00:00:00"/>
    <x v="220"/>
  </r>
  <r>
    <x v="5"/>
    <x v="45"/>
    <x v="211"/>
    <x v="172"/>
    <n v="0"/>
    <n v="3649"/>
    <n v="9607"/>
    <x v="197"/>
    <x v="215"/>
    <n v="0"/>
    <d v="2018-01-01T00:00:00"/>
    <x v="221"/>
  </r>
  <r>
    <x v="5"/>
    <x v="46"/>
    <x v="212"/>
    <x v="173"/>
    <n v="0"/>
    <n v="9949"/>
    <n v="6854"/>
    <x v="198"/>
    <x v="216"/>
    <n v="0"/>
    <d v="2018-01-01T00:00:00"/>
    <x v="222"/>
  </r>
  <r>
    <x v="5"/>
    <x v="47"/>
    <x v="213"/>
    <x v="174"/>
    <n v="0"/>
    <n v="33"/>
    <n v="11383"/>
    <x v="199"/>
    <x v="217"/>
    <n v="0"/>
    <d v="2018-01-01T00:00:00"/>
    <x v="223"/>
  </r>
  <r>
    <x v="5"/>
    <x v="48"/>
    <x v="214"/>
    <x v="175"/>
    <n v="0"/>
    <n v="1863"/>
    <n v="14215"/>
    <x v="200"/>
    <x v="218"/>
    <n v="0"/>
    <d v="2018-01-01T00:00:00"/>
    <x v="224"/>
  </r>
  <r>
    <x v="5"/>
    <x v="35"/>
    <x v="215"/>
    <x v="35"/>
    <n v="0"/>
    <n v="95"/>
    <n v="0"/>
    <x v="35"/>
    <x v="219"/>
    <n v="0"/>
    <d v="2018-01-01T00:00:00"/>
    <x v="225"/>
  </r>
  <r>
    <x v="5"/>
    <x v="44"/>
    <x v="36"/>
    <x v="35"/>
    <n v="0"/>
    <n v="0"/>
    <n v="4142"/>
    <x v="35"/>
    <x v="37"/>
    <n v="54128"/>
    <d v="2018-01-01T00:00:00"/>
    <x v="226"/>
  </r>
  <r>
    <x v="5"/>
    <x v="37"/>
    <x v="36"/>
    <x v="35"/>
    <n v="70174"/>
    <n v="0"/>
    <n v="0"/>
    <x v="35"/>
    <x v="220"/>
    <n v="21052"/>
    <d v="2018-01-01T00:00:00"/>
    <x v="227"/>
  </r>
  <r>
    <x v="6"/>
    <x v="0"/>
    <x v="216"/>
    <x v="176"/>
    <n v="0"/>
    <n v="11"/>
    <n v="0"/>
    <x v="201"/>
    <x v="221"/>
    <n v="0"/>
    <d v="2019-01-01T00:00:00"/>
    <x v="228"/>
  </r>
  <r>
    <x v="6"/>
    <x v="39"/>
    <x v="217"/>
    <x v="177"/>
    <n v="0"/>
    <n v="74"/>
    <n v="0"/>
    <x v="202"/>
    <x v="222"/>
    <n v="0"/>
    <d v="2019-01-01T00:00:00"/>
    <x v="229"/>
  </r>
  <r>
    <x v="6"/>
    <x v="2"/>
    <x v="218"/>
    <x v="178"/>
    <n v="0"/>
    <n v="7"/>
    <n v="1779"/>
    <x v="203"/>
    <x v="223"/>
    <n v="0"/>
    <d v="2019-01-01T00:00:00"/>
    <x v="230"/>
  </r>
  <r>
    <x v="6"/>
    <x v="3"/>
    <x v="219"/>
    <x v="179"/>
    <n v="0"/>
    <n v="46"/>
    <n v="7785"/>
    <x v="204"/>
    <x v="224"/>
    <n v="0"/>
    <d v="2019-01-01T00:00:00"/>
    <x v="231"/>
  </r>
  <r>
    <x v="6"/>
    <x v="4"/>
    <x v="220"/>
    <x v="180"/>
    <n v="0"/>
    <n v="28"/>
    <n v="40751"/>
    <x v="205"/>
    <x v="225"/>
    <n v="0"/>
    <d v="2019-01-01T00:00:00"/>
    <x v="232"/>
  </r>
  <r>
    <x v="6"/>
    <x v="5"/>
    <x v="221"/>
    <x v="181"/>
    <n v="0"/>
    <n v="47"/>
    <n v="10458"/>
    <x v="206"/>
    <x v="226"/>
    <n v="0"/>
    <d v="2019-01-01T00:00:00"/>
    <x v="233"/>
  </r>
  <r>
    <x v="6"/>
    <x v="6"/>
    <x v="222"/>
    <x v="182"/>
    <n v="0"/>
    <n v="50"/>
    <n v="1369"/>
    <x v="207"/>
    <x v="227"/>
    <n v="0"/>
    <d v="2019-01-01T00:00:00"/>
    <x v="234"/>
  </r>
  <r>
    <x v="6"/>
    <x v="7"/>
    <x v="223"/>
    <x v="183"/>
    <n v="0"/>
    <n v="188"/>
    <n v="8607"/>
    <x v="208"/>
    <x v="228"/>
    <n v="0"/>
    <d v="2019-01-01T00:00:00"/>
    <x v="235"/>
  </r>
  <r>
    <x v="6"/>
    <x v="8"/>
    <x v="224"/>
    <x v="184"/>
    <n v="0"/>
    <n v="73"/>
    <n v="22368"/>
    <x v="209"/>
    <x v="229"/>
    <n v="0"/>
    <d v="2019-01-01T00:00:00"/>
    <x v="236"/>
  </r>
  <r>
    <x v="6"/>
    <x v="9"/>
    <x v="225"/>
    <x v="185"/>
    <n v="0"/>
    <n v="119"/>
    <n v="295"/>
    <x v="210"/>
    <x v="230"/>
    <n v="0"/>
    <d v="2019-01-01T00:00:00"/>
    <x v="237"/>
  </r>
  <r>
    <x v="6"/>
    <x v="10"/>
    <x v="226"/>
    <x v="186"/>
    <n v="0"/>
    <n v="77"/>
    <n v="2070"/>
    <x v="211"/>
    <x v="231"/>
    <n v="0"/>
    <d v="2019-01-01T00:00:00"/>
    <x v="238"/>
  </r>
  <r>
    <x v="6"/>
    <x v="11"/>
    <x v="227"/>
    <x v="187"/>
    <n v="0"/>
    <n v="98"/>
    <n v="1848"/>
    <x v="212"/>
    <x v="232"/>
    <n v="0"/>
    <d v="2019-01-01T00:00:00"/>
    <x v="239"/>
  </r>
  <r>
    <x v="6"/>
    <x v="12"/>
    <x v="228"/>
    <x v="188"/>
    <n v="0"/>
    <n v="226"/>
    <n v="7314"/>
    <x v="213"/>
    <x v="233"/>
    <n v="0"/>
    <d v="2019-01-01T00:00:00"/>
    <x v="240"/>
  </r>
  <r>
    <x v="6"/>
    <x v="13"/>
    <x v="229"/>
    <x v="189"/>
    <n v="0"/>
    <n v="2782"/>
    <n v="7155"/>
    <x v="214"/>
    <x v="234"/>
    <n v="0"/>
    <d v="2019-01-01T00:00:00"/>
    <x v="241"/>
  </r>
  <r>
    <x v="6"/>
    <x v="14"/>
    <x v="230"/>
    <x v="190"/>
    <n v="0"/>
    <n v="3"/>
    <n v="4667"/>
    <x v="215"/>
    <x v="235"/>
    <n v="0"/>
    <d v="2019-01-01T00:00:00"/>
    <x v="242"/>
  </r>
  <r>
    <x v="6"/>
    <x v="15"/>
    <x v="231"/>
    <x v="191"/>
    <n v="0"/>
    <n v="72"/>
    <n v="1349"/>
    <x v="216"/>
    <x v="236"/>
    <n v="0"/>
    <d v="2019-01-01T00:00:00"/>
    <x v="243"/>
  </r>
  <r>
    <x v="6"/>
    <x v="16"/>
    <x v="232"/>
    <x v="192"/>
    <n v="0"/>
    <n v="217"/>
    <n v="2491"/>
    <x v="217"/>
    <x v="237"/>
    <n v="0"/>
    <d v="2019-01-01T00:00:00"/>
    <x v="244"/>
  </r>
  <r>
    <x v="6"/>
    <x v="17"/>
    <x v="233"/>
    <x v="193"/>
    <n v="0"/>
    <n v="1797"/>
    <n v="2517"/>
    <x v="218"/>
    <x v="238"/>
    <n v="0"/>
    <d v="2019-01-01T00:00:00"/>
    <x v="245"/>
  </r>
  <r>
    <x v="6"/>
    <x v="18"/>
    <x v="234"/>
    <x v="194"/>
    <n v="0"/>
    <n v="56"/>
    <n v="41550"/>
    <x v="219"/>
    <x v="239"/>
    <n v="0"/>
    <d v="2019-01-01T00:00:00"/>
    <x v="246"/>
  </r>
  <r>
    <x v="6"/>
    <x v="19"/>
    <x v="235"/>
    <x v="195"/>
    <n v="0"/>
    <n v="559"/>
    <n v="6826"/>
    <x v="220"/>
    <x v="240"/>
    <n v="0"/>
    <d v="2019-01-01T00:00:00"/>
    <x v="247"/>
  </r>
  <r>
    <x v="6"/>
    <x v="20"/>
    <x v="236"/>
    <x v="196"/>
    <n v="0"/>
    <n v="6"/>
    <n v="3525"/>
    <x v="221"/>
    <x v="241"/>
    <n v="0"/>
    <d v="2019-01-01T00:00:00"/>
    <x v="248"/>
  </r>
  <r>
    <x v="6"/>
    <x v="21"/>
    <x v="237"/>
    <x v="197"/>
    <n v="0"/>
    <n v="0"/>
    <n v="18869"/>
    <x v="222"/>
    <x v="242"/>
    <n v="0"/>
    <d v="2019-01-01T00:00:00"/>
    <x v="249"/>
  </r>
  <r>
    <x v="6"/>
    <x v="22"/>
    <x v="238"/>
    <x v="198"/>
    <n v="0"/>
    <n v="125"/>
    <n v="10735"/>
    <x v="223"/>
    <x v="243"/>
    <n v="0"/>
    <d v="2019-01-01T00:00:00"/>
    <x v="250"/>
  </r>
  <r>
    <x v="6"/>
    <x v="23"/>
    <x v="239"/>
    <x v="199"/>
    <n v="0"/>
    <n v="0"/>
    <n v="5741"/>
    <x v="224"/>
    <x v="244"/>
    <n v="0"/>
    <d v="2019-01-01T00:00:00"/>
    <x v="251"/>
  </r>
  <r>
    <x v="6"/>
    <x v="24"/>
    <x v="240"/>
    <x v="200"/>
    <n v="0"/>
    <n v="24"/>
    <n v="941"/>
    <x v="225"/>
    <x v="245"/>
    <n v="0"/>
    <d v="2019-01-01T00:00:00"/>
    <x v="252"/>
  </r>
  <r>
    <x v="6"/>
    <x v="25"/>
    <x v="241"/>
    <x v="201"/>
    <n v="0"/>
    <n v="94"/>
    <n v="6420"/>
    <x v="226"/>
    <x v="246"/>
    <n v="0"/>
    <d v="2019-01-01T00:00:00"/>
    <x v="253"/>
  </r>
  <r>
    <x v="6"/>
    <x v="26"/>
    <x v="242"/>
    <x v="202"/>
    <n v="0"/>
    <n v="6"/>
    <n v="2336"/>
    <x v="26"/>
    <x v="247"/>
    <n v="0"/>
    <d v="2019-01-01T00:00:00"/>
    <x v="254"/>
  </r>
  <r>
    <x v="6"/>
    <x v="27"/>
    <x v="243"/>
    <x v="203"/>
    <n v="0"/>
    <n v="114"/>
    <n v="1328"/>
    <x v="227"/>
    <x v="248"/>
    <n v="0"/>
    <d v="2019-01-01T00:00:00"/>
    <x v="255"/>
  </r>
  <r>
    <x v="6"/>
    <x v="28"/>
    <x v="244"/>
    <x v="204"/>
    <n v="0"/>
    <n v="70"/>
    <n v="3376"/>
    <x v="228"/>
    <x v="249"/>
    <n v="0"/>
    <d v="2019-01-01T00:00:00"/>
    <x v="256"/>
  </r>
  <r>
    <x v="6"/>
    <x v="29"/>
    <x v="245"/>
    <x v="205"/>
    <n v="0"/>
    <n v="97"/>
    <n v="10086"/>
    <x v="229"/>
    <x v="250"/>
    <n v="0"/>
    <d v="2019-01-01T00:00:00"/>
    <x v="257"/>
  </r>
  <r>
    <x v="6"/>
    <x v="30"/>
    <x v="246"/>
    <x v="206"/>
    <n v="0"/>
    <n v="439"/>
    <n v="32044"/>
    <x v="230"/>
    <x v="251"/>
    <n v="0"/>
    <d v="2019-01-01T00:00:00"/>
    <x v="258"/>
  </r>
  <r>
    <x v="6"/>
    <x v="45"/>
    <x v="247"/>
    <x v="207"/>
    <n v="0"/>
    <n v="3751"/>
    <n v="2787"/>
    <x v="231"/>
    <x v="252"/>
    <n v="0"/>
    <d v="2019-01-01T00:00:00"/>
    <x v="259"/>
  </r>
  <r>
    <x v="6"/>
    <x v="46"/>
    <x v="248"/>
    <x v="208"/>
    <n v="0"/>
    <n v="9116"/>
    <n v="8594"/>
    <x v="232"/>
    <x v="253"/>
    <n v="0"/>
    <d v="2019-01-01T00:00:00"/>
    <x v="260"/>
  </r>
  <r>
    <x v="6"/>
    <x v="47"/>
    <x v="249"/>
    <x v="209"/>
    <n v="0"/>
    <n v="30"/>
    <n v="9439"/>
    <x v="233"/>
    <x v="254"/>
    <n v="0"/>
    <d v="2019-01-01T00:00:00"/>
    <x v="261"/>
  </r>
  <r>
    <x v="6"/>
    <x v="48"/>
    <x v="250"/>
    <x v="210"/>
    <n v="0"/>
    <n v="1692"/>
    <n v="15181"/>
    <x v="234"/>
    <x v="255"/>
    <n v="0"/>
    <d v="2019-01-01T00:00:00"/>
    <x v="262"/>
  </r>
  <r>
    <x v="6"/>
    <x v="35"/>
    <x v="251"/>
    <x v="35"/>
    <n v="0"/>
    <n v="0"/>
    <n v="0"/>
    <x v="35"/>
    <x v="101"/>
    <n v="0"/>
    <d v="2019-01-01T00:00:00"/>
    <x v="263"/>
  </r>
  <r>
    <x v="6"/>
    <x v="44"/>
    <x v="36"/>
    <x v="35"/>
    <n v="0"/>
    <n v="0"/>
    <n v="0"/>
    <x v="35"/>
    <x v="256"/>
    <n v="56176"/>
    <d v="2019-01-01T00:00:00"/>
    <x v="264"/>
  </r>
  <r>
    <x v="6"/>
    <x v="37"/>
    <x v="36"/>
    <x v="35"/>
    <n v="91806"/>
    <n v="0"/>
    <n v="0"/>
    <x v="35"/>
    <x v="37"/>
    <n v="25685"/>
    <d v="2019-01-01T00:00:00"/>
    <x v="265"/>
  </r>
  <r>
    <x v="7"/>
    <x v="0"/>
    <x v="252"/>
    <x v="211"/>
    <n v="0"/>
    <n v="121"/>
    <n v="0"/>
    <x v="235"/>
    <x v="257"/>
    <n v="0"/>
    <d v="2020-01-01T00:00:00"/>
    <x v="266"/>
  </r>
  <r>
    <x v="7"/>
    <x v="39"/>
    <x v="253"/>
    <x v="212"/>
    <n v="0"/>
    <n v="135"/>
    <n v="417"/>
    <x v="236"/>
    <x v="258"/>
    <n v="0"/>
    <d v="2020-01-01T00:00:00"/>
    <x v="267"/>
  </r>
  <r>
    <x v="7"/>
    <x v="2"/>
    <x v="254"/>
    <x v="213"/>
    <n v="0"/>
    <n v="0"/>
    <n v="48"/>
    <x v="237"/>
    <x v="259"/>
    <n v="0"/>
    <d v="2020-01-01T00:00:00"/>
    <x v="268"/>
  </r>
  <r>
    <x v="7"/>
    <x v="3"/>
    <x v="255"/>
    <x v="214"/>
    <n v="0"/>
    <n v="12"/>
    <n v="3286"/>
    <x v="238"/>
    <x v="260"/>
    <n v="0"/>
    <d v="2020-01-01T00:00:00"/>
    <x v="269"/>
  </r>
  <r>
    <x v="7"/>
    <x v="4"/>
    <x v="256"/>
    <x v="215"/>
    <n v="0"/>
    <n v="6"/>
    <n v="1855"/>
    <x v="239"/>
    <x v="261"/>
    <n v="0"/>
    <d v="2020-01-01T00:00:00"/>
    <x v="270"/>
  </r>
  <r>
    <x v="7"/>
    <x v="5"/>
    <x v="36"/>
    <x v="216"/>
    <n v="0"/>
    <n v="76"/>
    <n v="0"/>
    <x v="240"/>
    <x v="37"/>
    <n v="0"/>
    <d v="2020-01-01T00:00:00"/>
    <x v="271"/>
  </r>
  <r>
    <x v="7"/>
    <x v="6"/>
    <x v="257"/>
    <x v="217"/>
    <n v="0"/>
    <n v="19"/>
    <n v="198"/>
    <x v="241"/>
    <x v="262"/>
    <n v="0"/>
    <d v="2020-01-01T00:00:00"/>
    <x v="272"/>
  </r>
  <r>
    <x v="7"/>
    <x v="7"/>
    <x v="258"/>
    <x v="218"/>
    <n v="0"/>
    <n v="143"/>
    <n v="908"/>
    <x v="242"/>
    <x v="263"/>
    <n v="0"/>
    <d v="2020-01-01T00:00:00"/>
    <x v="273"/>
  </r>
  <r>
    <x v="7"/>
    <x v="8"/>
    <x v="259"/>
    <x v="219"/>
    <n v="0"/>
    <n v="38"/>
    <n v="1248"/>
    <x v="243"/>
    <x v="264"/>
    <n v="0"/>
    <d v="2020-01-01T00:00:00"/>
    <x v="274"/>
  </r>
  <r>
    <x v="7"/>
    <x v="9"/>
    <x v="260"/>
    <x v="220"/>
    <n v="0"/>
    <n v="142"/>
    <n v="840"/>
    <x v="244"/>
    <x v="265"/>
    <n v="0"/>
    <d v="2020-01-01T00:00:00"/>
    <x v="275"/>
  </r>
  <r>
    <x v="7"/>
    <x v="10"/>
    <x v="261"/>
    <x v="221"/>
    <n v="0"/>
    <n v="8"/>
    <n v="120"/>
    <x v="245"/>
    <x v="37"/>
    <n v="0"/>
    <d v="2020-01-01T00:00:00"/>
    <x v="276"/>
  </r>
  <r>
    <x v="7"/>
    <x v="11"/>
    <x v="262"/>
    <x v="222"/>
    <n v="0"/>
    <n v="152"/>
    <n v="627"/>
    <x v="246"/>
    <x v="266"/>
    <n v="0"/>
    <d v="2020-01-01T00:00:00"/>
    <x v="277"/>
  </r>
  <r>
    <x v="7"/>
    <x v="12"/>
    <x v="263"/>
    <x v="223"/>
    <n v="0"/>
    <n v="151"/>
    <n v="272"/>
    <x v="247"/>
    <x v="267"/>
    <n v="0"/>
    <d v="2020-01-01T00:00:00"/>
    <x v="278"/>
  </r>
  <r>
    <x v="7"/>
    <x v="13"/>
    <x v="264"/>
    <x v="224"/>
    <n v="0"/>
    <n v="6927"/>
    <n v="870"/>
    <x v="248"/>
    <x v="268"/>
    <n v="0"/>
    <d v="2020-01-01T00:00:00"/>
    <x v="279"/>
  </r>
  <r>
    <x v="7"/>
    <x v="14"/>
    <x v="265"/>
    <x v="225"/>
    <n v="0"/>
    <n v="0"/>
    <n v="590"/>
    <x v="249"/>
    <x v="269"/>
    <n v="0"/>
    <d v="2020-01-01T00:00:00"/>
    <x v="280"/>
  </r>
  <r>
    <x v="7"/>
    <x v="15"/>
    <x v="266"/>
    <x v="226"/>
    <n v="0"/>
    <n v="102"/>
    <n v="161"/>
    <x v="250"/>
    <x v="270"/>
    <n v="0"/>
    <d v="2020-01-01T00:00:00"/>
    <x v="281"/>
  </r>
  <r>
    <x v="7"/>
    <x v="16"/>
    <x v="267"/>
    <x v="227"/>
    <n v="0"/>
    <n v="245"/>
    <n v="1244"/>
    <x v="251"/>
    <x v="271"/>
    <n v="0"/>
    <d v="2020-01-01T00:00:00"/>
    <x v="282"/>
  </r>
  <r>
    <x v="7"/>
    <x v="17"/>
    <x v="268"/>
    <x v="228"/>
    <n v="0"/>
    <n v="1673"/>
    <n v="444"/>
    <x v="252"/>
    <x v="272"/>
    <n v="0"/>
    <d v="2020-01-01T00:00:00"/>
    <x v="283"/>
  </r>
  <r>
    <x v="7"/>
    <x v="18"/>
    <x v="269"/>
    <x v="229"/>
    <n v="0"/>
    <n v="19"/>
    <n v="0"/>
    <x v="253"/>
    <x v="273"/>
    <n v="0"/>
    <d v="2020-01-01T00:00:00"/>
    <x v="284"/>
  </r>
  <r>
    <x v="7"/>
    <x v="19"/>
    <x v="270"/>
    <x v="230"/>
    <n v="0"/>
    <n v="472"/>
    <n v="4198"/>
    <x v="254"/>
    <x v="274"/>
    <n v="0"/>
    <d v="2020-01-01T00:00:00"/>
    <x v="285"/>
  </r>
  <r>
    <x v="7"/>
    <x v="20"/>
    <x v="271"/>
    <x v="231"/>
    <n v="0"/>
    <n v="0"/>
    <n v="369"/>
    <x v="255"/>
    <x v="275"/>
    <n v="0"/>
    <d v="2020-01-01T00:00:00"/>
    <x v="286"/>
  </r>
  <r>
    <x v="7"/>
    <x v="21"/>
    <x v="272"/>
    <x v="232"/>
    <n v="0"/>
    <n v="0"/>
    <n v="1830"/>
    <x v="256"/>
    <x v="276"/>
    <n v="0"/>
    <d v="2020-01-01T00:00:00"/>
    <x v="287"/>
  </r>
  <r>
    <x v="7"/>
    <x v="22"/>
    <x v="273"/>
    <x v="233"/>
    <n v="0"/>
    <n v="223"/>
    <n v="4014"/>
    <x v="257"/>
    <x v="277"/>
    <n v="0"/>
    <d v="2020-01-01T00:00:00"/>
    <x v="288"/>
  </r>
  <r>
    <x v="7"/>
    <x v="23"/>
    <x v="274"/>
    <x v="234"/>
    <n v="0"/>
    <n v="0"/>
    <n v="374"/>
    <x v="258"/>
    <x v="278"/>
    <n v="0"/>
    <d v="2020-01-01T00:00:00"/>
    <x v="289"/>
  </r>
  <r>
    <x v="7"/>
    <x v="24"/>
    <x v="275"/>
    <x v="235"/>
    <n v="0"/>
    <n v="0"/>
    <n v="0"/>
    <x v="259"/>
    <x v="279"/>
    <n v="0"/>
    <d v="2020-01-01T00:00:00"/>
    <x v="290"/>
  </r>
  <r>
    <x v="7"/>
    <x v="25"/>
    <x v="276"/>
    <x v="236"/>
    <n v="0"/>
    <n v="182"/>
    <n v="400"/>
    <x v="260"/>
    <x v="280"/>
    <n v="0"/>
    <d v="2020-01-01T00:00:00"/>
    <x v="291"/>
  </r>
  <r>
    <x v="7"/>
    <x v="26"/>
    <x v="277"/>
    <x v="237"/>
    <n v="0"/>
    <n v="0"/>
    <n v="0"/>
    <x v="261"/>
    <x v="281"/>
    <n v="0"/>
    <d v="2020-01-01T00:00:00"/>
    <x v="292"/>
  </r>
  <r>
    <x v="7"/>
    <x v="27"/>
    <x v="278"/>
    <x v="238"/>
    <n v="0"/>
    <n v="362"/>
    <n v="908"/>
    <x v="262"/>
    <x v="282"/>
    <n v="0"/>
    <d v="2020-01-01T00:00:00"/>
    <x v="293"/>
  </r>
  <r>
    <x v="7"/>
    <x v="28"/>
    <x v="279"/>
    <x v="239"/>
    <n v="0"/>
    <n v="124"/>
    <n v="336"/>
    <x v="263"/>
    <x v="283"/>
    <n v="0"/>
    <d v="2020-01-01T00:00:00"/>
    <x v="294"/>
  </r>
  <r>
    <x v="7"/>
    <x v="29"/>
    <x v="280"/>
    <x v="240"/>
    <n v="0"/>
    <n v="127"/>
    <n v="764"/>
    <x v="264"/>
    <x v="284"/>
    <n v="0"/>
    <d v="2020-01-01T00:00:00"/>
    <x v="295"/>
  </r>
  <r>
    <x v="7"/>
    <x v="30"/>
    <x v="281"/>
    <x v="241"/>
    <n v="0"/>
    <n v="440"/>
    <n v="700"/>
    <x v="265"/>
    <x v="285"/>
    <n v="0"/>
    <d v="2020-01-01T00:00:00"/>
    <x v="296"/>
  </r>
  <r>
    <x v="7"/>
    <x v="45"/>
    <x v="282"/>
    <x v="242"/>
    <n v="0"/>
    <n v="3725"/>
    <n v="1457"/>
    <x v="266"/>
    <x v="286"/>
    <n v="0"/>
    <d v="2020-01-01T00:00:00"/>
    <x v="297"/>
  </r>
  <r>
    <x v="7"/>
    <x v="46"/>
    <x v="283"/>
    <x v="243"/>
    <n v="0"/>
    <n v="8813"/>
    <n v="490"/>
    <x v="267"/>
    <x v="287"/>
    <n v="0"/>
    <d v="2020-01-01T00:00:00"/>
    <x v="298"/>
  </r>
  <r>
    <x v="7"/>
    <x v="47"/>
    <x v="284"/>
    <x v="244"/>
    <n v="0"/>
    <n v="20"/>
    <n v="815"/>
    <x v="268"/>
    <x v="288"/>
    <n v="0"/>
    <d v="2020-01-01T00:00:00"/>
    <x v="299"/>
  </r>
  <r>
    <x v="7"/>
    <x v="48"/>
    <x v="285"/>
    <x v="245"/>
    <n v="0"/>
    <n v="1905"/>
    <n v="951"/>
    <x v="269"/>
    <x v="289"/>
    <n v="0"/>
    <d v="2020-01-01T00:00:00"/>
    <x v="300"/>
  </r>
  <r>
    <x v="7"/>
    <x v="35"/>
    <x v="286"/>
    <x v="35"/>
    <n v="0"/>
    <n v="45"/>
    <n v="0"/>
    <x v="35"/>
    <x v="37"/>
    <n v="0"/>
    <d v="2020-01-01T00:00:00"/>
    <x v="301"/>
  </r>
  <r>
    <x v="7"/>
    <x v="44"/>
    <x v="36"/>
    <x v="35"/>
    <n v="0"/>
    <n v="0"/>
    <n v="0"/>
    <x v="35"/>
    <x v="37"/>
    <n v="0"/>
    <d v="2020-01-01T00:00:00"/>
    <x v="302"/>
  </r>
  <r>
    <x v="7"/>
    <x v="37"/>
    <x v="36"/>
    <x v="35"/>
    <n v="11320"/>
    <n v="0"/>
    <n v="0"/>
    <x v="35"/>
    <x v="37"/>
    <n v="0"/>
    <d v="2020-01-01T00:00:00"/>
    <x v="303"/>
  </r>
  <r>
    <x v="8"/>
    <x v="0"/>
    <x v="287"/>
    <x v="246"/>
    <n v="0"/>
    <n v="16"/>
    <n v="1"/>
    <x v="270"/>
    <x v="37"/>
    <n v="0"/>
    <d v="2021-01-01T00:00:00"/>
    <x v="304"/>
  </r>
  <r>
    <x v="8"/>
    <x v="39"/>
    <x v="288"/>
    <x v="247"/>
    <n v="0"/>
    <n v="51"/>
    <n v="145"/>
    <x v="271"/>
    <x v="37"/>
    <n v="0"/>
    <d v="2021-01-01T00:00:00"/>
    <x v="305"/>
  </r>
  <r>
    <x v="8"/>
    <x v="2"/>
    <x v="289"/>
    <x v="248"/>
    <n v="12"/>
    <n v="1"/>
    <n v="23"/>
    <x v="35"/>
    <x v="290"/>
    <n v="0"/>
    <d v="2021-01-01T00:00:00"/>
    <x v="306"/>
  </r>
  <r>
    <x v="8"/>
    <x v="3"/>
    <x v="290"/>
    <x v="249"/>
    <n v="5"/>
    <n v="0"/>
    <n v="902"/>
    <x v="242"/>
    <x v="291"/>
    <n v="0"/>
    <d v="2021-01-01T00:00:00"/>
    <x v="307"/>
  </r>
  <r>
    <x v="8"/>
    <x v="6"/>
    <x v="291"/>
    <x v="250"/>
    <n v="0"/>
    <n v="12"/>
    <n v="1820"/>
    <x v="272"/>
    <x v="292"/>
    <n v="0"/>
    <d v="2021-01-01T00:00:00"/>
    <x v="308"/>
  </r>
  <r>
    <x v="8"/>
    <x v="7"/>
    <x v="292"/>
    <x v="251"/>
    <n v="0"/>
    <n v="0"/>
    <n v="1200"/>
    <x v="273"/>
    <x v="293"/>
    <n v="0"/>
    <d v="2021-01-01T00:00:00"/>
    <x v="309"/>
  </r>
  <r>
    <x v="8"/>
    <x v="4"/>
    <x v="293"/>
    <x v="252"/>
    <n v="0"/>
    <n v="74"/>
    <n v="301"/>
    <x v="274"/>
    <x v="294"/>
    <n v="0"/>
    <d v="2021-01-01T00:00:00"/>
    <x v="310"/>
  </r>
  <r>
    <x v="8"/>
    <x v="5"/>
    <x v="294"/>
    <x v="253"/>
    <n v="0"/>
    <n v="105"/>
    <n v="1778"/>
    <x v="275"/>
    <x v="295"/>
    <n v="0"/>
    <d v="2021-01-01T00:00:00"/>
    <x v="311"/>
  </r>
  <r>
    <x v="8"/>
    <x v="8"/>
    <x v="295"/>
    <x v="254"/>
    <n v="0"/>
    <n v="6"/>
    <n v="216"/>
    <x v="276"/>
    <x v="296"/>
    <n v="0"/>
    <d v="2021-01-01T00:00:00"/>
    <x v="312"/>
  </r>
  <r>
    <x v="8"/>
    <x v="13"/>
    <x v="296"/>
    <x v="255"/>
    <n v="47"/>
    <n v="42"/>
    <n v="517"/>
    <x v="277"/>
    <x v="297"/>
    <n v="0"/>
    <d v="2021-01-01T00:00:00"/>
    <x v="313"/>
  </r>
  <r>
    <x v="8"/>
    <x v="9"/>
    <x v="297"/>
    <x v="256"/>
    <n v="19"/>
    <n v="51"/>
    <n v="605"/>
    <x v="278"/>
    <x v="298"/>
    <n v="0"/>
    <d v="2021-01-01T00:00:00"/>
    <x v="314"/>
  </r>
  <r>
    <x v="8"/>
    <x v="10"/>
    <x v="36"/>
    <x v="257"/>
    <n v="0"/>
    <n v="79"/>
    <n v="20"/>
    <x v="279"/>
    <x v="37"/>
    <n v="0"/>
    <d v="2021-01-01T00:00:00"/>
    <x v="315"/>
  </r>
  <r>
    <x v="8"/>
    <x v="11"/>
    <x v="298"/>
    <x v="258"/>
    <n v="3"/>
    <n v="285"/>
    <n v="955"/>
    <x v="280"/>
    <x v="290"/>
    <n v="0"/>
    <d v="2021-01-01T00:00:00"/>
    <x v="316"/>
  </r>
  <r>
    <x v="8"/>
    <x v="12"/>
    <x v="299"/>
    <x v="259"/>
    <n v="0"/>
    <n v="3750"/>
    <n v="365"/>
    <x v="281"/>
    <x v="299"/>
    <n v="0"/>
    <d v="2021-01-01T00:00:00"/>
    <x v="317"/>
  </r>
  <r>
    <x v="8"/>
    <x v="14"/>
    <x v="300"/>
    <x v="260"/>
    <n v="0"/>
    <n v="58"/>
    <n v="755"/>
    <x v="282"/>
    <x v="290"/>
    <n v="0"/>
    <d v="2021-01-01T00:00:00"/>
    <x v="318"/>
  </r>
  <r>
    <x v="8"/>
    <x v="15"/>
    <x v="301"/>
    <x v="261"/>
    <n v="0"/>
    <n v="108"/>
    <n v="1192"/>
    <x v="283"/>
    <x v="290"/>
    <n v="0"/>
    <d v="2021-01-01T00:00:00"/>
    <x v="319"/>
  </r>
  <r>
    <x v="8"/>
    <x v="16"/>
    <x v="302"/>
    <x v="253"/>
    <n v="68"/>
    <n v="2"/>
    <n v="129"/>
    <x v="35"/>
    <x v="300"/>
    <n v="0"/>
    <d v="2021-01-01T00:00:00"/>
    <x v="320"/>
  </r>
  <r>
    <x v="8"/>
    <x v="17"/>
    <x v="303"/>
    <x v="262"/>
    <n v="287"/>
    <n v="1409"/>
    <n v="171"/>
    <x v="284"/>
    <x v="301"/>
    <n v="0"/>
    <d v="2021-01-01T00:00:00"/>
    <x v="321"/>
  </r>
  <r>
    <x v="8"/>
    <x v="18"/>
    <x v="304"/>
    <x v="263"/>
    <n v="0"/>
    <n v="40"/>
    <n v="85"/>
    <x v="285"/>
    <x v="302"/>
    <n v="0"/>
    <d v="2021-01-01T00:00:00"/>
    <x v="322"/>
  </r>
  <r>
    <x v="8"/>
    <x v="19"/>
    <x v="305"/>
    <x v="264"/>
    <n v="2"/>
    <n v="0"/>
    <n v="701"/>
    <x v="286"/>
    <x v="295"/>
    <n v="0"/>
    <d v="2021-01-01T00:00:00"/>
    <x v="323"/>
  </r>
  <r>
    <x v="8"/>
    <x v="20"/>
    <x v="306"/>
    <x v="265"/>
    <n v="0"/>
    <n v="0"/>
    <n v="216"/>
    <x v="287"/>
    <x v="303"/>
    <n v="0"/>
    <d v="2021-01-01T00:00:00"/>
    <x v="324"/>
  </r>
  <r>
    <x v="8"/>
    <x v="21"/>
    <x v="307"/>
    <x v="266"/>
    <n v="157"/>
    <n v="69"/>
    <n v="541"/>
    <x v="288"/>
    <x v="304"/>
    <n v="0"/>
    <d v="2021-01-01T00:00:00"/>
    <x v="325"/>
  </r>
  <r>
    <x v="8"/>
    <x v="22"/>
    <x v="308"/>
    <x v="267"/>
    <n v="5"/>
    <n v="227"/>
    <n v="195"/>
    <x v="289"/>
    <x v="290"/>
    <n v="0"/>
    <d v="2021-01-01T00:00:00"/>
    <x v="326"/>
  </r>
  <r>
    <x v="8"/>
    <x v="23"/>
    <x v="309"/>
    <x v="268"/>
    <n v="8"/>
    <n v="0"/>
    <n v="941"/>
    <x v="290"/>
    <x v="305"/>
    <n v="0"/>
    <d v="2021-01-01T00:00:00"/>
    <x v="327"/>
  </r>
  <r>
    <x v="8"/>
    <x v="24"/>
    <x v="36"/>
    <x v="35"/>
    <n v="0"/>
    <n v="0"/>
    <n v="0"/>
    <x v="35"/>
    <x v="37"/>
    <n v="0"/>
    <d v="2021-01-01T00:00:00"/>
    <x v="302"/>
  </r>
  <r>
    <x v="8"/>
    <x v="25"/>
    <x v="310"/>
    <x v="269"/>
    <n v="198"/>
    <n v="21"/>
    <n v="610"/>
    <x v="291"/>
    <x v="306"/>
    <n v="0"/>
    <d v="2021-01-01T00:00:00"/>
    <x v="328"/>
  </r>
  <r>
    <x v="8"/>
    <x v="26"/>
    <x v="311"/>
    <x v="248"/>
    <n v="0"/>
    <n v="2"/>
    <n v="0"/>
    <x v="35"/>
    <x v="37"/>
    <n v="0"/>
    <d v="2021-01-01T00:00:00"/>
    <x v="329"/>
  </r>
  <r>
    <x v="8"/>
    <x v="27"/>
    <x v="312"/>
    <x v="270"/>
    <n v="0"/>
    <n v="14"/>
    <n v="537"/>
    <x v="292"/>
    <x v="307"/>
    <n v="0"/>
    <d v="2021-01-01T00:00:00"/>
    <x v="330"/>
  </r>
  <r>
    <x v="8"/>
    <x v="28"/>
    <x v="313"/>
    <x v="271"/>
    <n v="63"/>
    <n v="143"/>
    <n v="263"/>
    <x v="293"/>
    <x v="308"/>
    <n v="0"/>
    <d v="2021-01-01T00:00:00"/>
    <x v="331"/>
  </r>
  <r>
    <x v="8"/>
    <x v="29"/>
    <x v="314"/>
    <x v="272"/>
    <n v="34"/>
    <n v="160"/>
    <n v="1401"/>
    <x v="294"/>
    <x v="308"/>
    <n v="0"/>
    <d v="2021-01-01T00:00:00"/>
    <x v="332"/>
  </r>
  <r>
    <x v="8"/>
    <x v="30"/>
    <x v="315"/>
    <x v="273"/>
    <n v="4"/>
    <n v="37"/>
    <n v="741"/>
    <x v="295"/>
    <x v="309"/>
    <n v="0"/>
    <d v="2021-01-01T00:00:00"/>
    <x v="333"/>
  </r>
  <r>
    <x v="8"/>
    <x v="46"/>
    <x v="316"/>
    <x v="274"/>
    <n v="72"/>
    <n v="2489"/>
    <n v="0"/>
    <x v="35"/>
    <x v="37"/>
    <n v="0"/>
    <d v="2021-01-01T00:00:00"/>
    <x v="334"/>
  </r>
  <r>
    <x v="8"/>
    <x v="45"/>
    <x v="317"/>
    <x v="275"/>
    <n v="0"/>
    <n v="4670"/>
    <n v="651"/>
    <x v="296"/>
    <x v="310"/>
    <n v="0"/>
    <d v="2021-01-01T00:00:00"/>
    <x v="335"/>
  </r>
  <r>
    <x v="8"/>
    <x v="48"/>
    <x v="318"/>
    <x v="276"/>
    <n v="9"/>
    <n v="41"/>
    <n v="782"/>
    <x v="297"/>
    <x v="301"/>
    <n v="0"/>
    <d v="2021-01-01T00:00:00"/>
    <x v="336"/>
  </r>
  <r>
    <x v="8"/>
    <x v="47"/>
    <x v="319"/>
    <x v="277"/>
    <n v="8"/>
    <n v="1931"/>
    <n v="1060"/>
    <x v="298"/>
    <x v="311"/>
    <n v="0"/>
    <d v="2021-01-01T00:00:00"/>
    <x v="337"/>
  </r>
  <r>
    <x v="8"/>
    <x v="35"/>
    <x v="320"/>
    <x v="278"/>
    <n v="0"/>
    <n v="0"/>
    <n v="0"/>
    <x v="299"/>
    <x v="37"/>
    <n v="0"/>
    <d v="2021-01-01T00:00:00"/>
    <x v="338"/>
  </r>
  <r>
    <x v="8"/>
    <x v="44"/>
    <x v="36"/>
    <x v="35"/>
    <n v="0"/>
    <n v="0"/>
    <n v="0"/>
    <x v="35"/>
    <x v="37"/>
    <n v="0"/>
    <d v="2021-01-01T00:00:00"/>
    <x v="302"/>
  </r>
  <r>
    <x v="8"/>
    <x v="37"/>
    <x v="36"/>
    <x v="35"/>
    <n v="16560"/>
    <n v="0"/>
    <n v="0"/>
    <x v="35"/>
    <x v="37"/>
    <n v="0"/>
    <d v="2021-01-01T00:00:00"/>
    <x v="339"/>
  </r>
  <r>
    <x v="9"/>
    <x v="0"/>
    <x v="321"/>
    <x v="279"/>
    <n v="0"/>
    <n v="23"/>
    <n v="47"/>
    <x v="300"/>
    <x v="231"/>
    <n v="0"/>
    <d v="2022-01-01T00:00:00"/>
    <x v="340"/>
  </r>
  <r>
    <x v="9"/>
    <x v="39"/>
    <x v="310"/>
    <x v="280"/>
    <n v="0"/>
    <n v="7"/>
    <n v="200"/>
    <x v="301"/>
    <x v="312"/>
    <n v="0"/>
    <d v="2022-01-01T00:00:00"/>
    <x v="341"/>
  </r>
  <r>
    <x v="9"/>
    <x v="2"/>
    <x v="322"/>
    <x v="281"/>
    <n v="212"/>
    <n v="10"/>
    <n v="125"/>
    <x v="274"/>
    <x v="313"/>
    <n v="0"/>
    <d v="2022-01-01T00:00:00"/>
    <x v="342"/>
  </r>
  <r>
    <x v="9"/>
    <x v="3"/>
    <x v="323"/>
    <x v="282"/>
    <n v="9"/>
    <n v="0"/>
    <n v="713"/>
    <x v="302"/>
    <x v="314"/>
    <n v="0"/>
    <d v="2022-01-01T00:00:00"/>
    <x v="343"/>
  </r>
  <r>
    <x v="9"/>
    <x v="6"/>
    <x v="307"/>
    <x v="283"/>
    <n v="0"/>
    <n v="60"/>
    <n v="1802"/>
    <x v="303"/>
    <x v="315"/>
    <n v="0"/>
    <d v="2022-01-01T00:00:00"/>
    <x v="344"/>
  </r>
  <r>
    <x v="9"/>
    <x v="7"/>
    <x v="324"/>
    <x v="284"/>
    <n v="0"/>
    <n v="71"/>
    <n v="5339"/>
    <x v="304"/>
    <x v="316"/>
    <n v="0"/>
    <d v="2022-01-01T00:00:00"/>
    <x v="345"/>
  </r>
  <r>
    <x v="9"/>
    <x v="4"/>
    <x v="325"/>
    <x v="285"/>
    <n v="0"/>
    <n v="5"/>
    <n v="337"/>
    <x v="305"/>
    <x v="317"/>
    <n v="0"/>
    <d v="2022-01-01T00:00:00"/>
    <x v="346"/>
  </r>
  <r>
    <x v="9"/>
    <x v="5"/>
    <x v="326"/>
    <x v="280"/>
    <n v="0"/>
    <n v="0"/>
    <n v="3887"/>
    <x v="306"/>
    <x v="318"/>
    <n v="0"/>
    <d v="2022-01-01T00:00:00"/>
    <x v="347"/>
  </r>
  <r>
    <x v="9"/>
    <x v="8"/>
    <x v="327"/>
    <x v="286"/>
    <n v="9"/>
    <n v="6"/>
    <n v="232"/>
    <x v="307"/>
    <x v="37"/>
    <n v="0"/>
    <d v="2022-01-01T00:00:00"/>
    <x v="348"/>
  </r>
  <r>
    <x v="9"/>
    <x v="13"/>
    <x v="328"/>
    <x v="287"/>
    <n v="4"/>
    <n v="2171"/>
    <n v="9327"/>
    <x v="308"/>
    <x v="319"/>
    <n v="0"/>
    <d v="2022-01-01T00:00:00"/>
    <x v="349"/>
  </r>
  <r>
    <x v="9"/>
    <x v="9"/>
    <x v="329"/>
    <x v="288"/>
    <n v="603"/>
    <n v="13"/>
    <n v="1089"/>
    <x v="309"/>
    <x v="320"/>
    <n v="0"/>
    <d v="2022-01-01T00:00:00"/>
    <x v="350"/>
  </r>
  <r>
    <x v="9"/>
    <x v="10"/>
    <x v="330"/>
    <x v="289"/>
    <n v="2"/>
    <n v="0"/>
    <n v="2"/>
    <x v="310"/>
    <x v="37"/>
    <n v="0"/>
    <d v="2022-01-01T00:00:00"/>
    <x v="351"/>
  </r>
  <r>
    <x v="9"/>
    <x v="11"/>
    <x v="331"/>
    <x v="290"/>
    <n v="236"/>
    <n v="49"/>
    <n v="2666"/>
    <x v="311"/>
    <x v="321"/>
    <n v="0"/>
    <d v="2022-01-01T00:00:00"/>
    <x v="352"/>
  </r>
  <r>
    <x v="9"/>
    <x v="12"/>
    <x v="332"/>
    <x v="291"/>
    <n v="0"/>
    <n v="142"/>
    <n v="416"/>
    <x v="312"/>
    <x v="295"/>
    <n v="0"/>
    <d v="2022-01-01T00:00:00"/>
    <x v="353"/>
  </r>
  <r>
    <x v="9"/>
    <x v="14"/>
    <x v="333"/>
    <x v="292"/>
    <n v="2"/>
    <n v="35"/>
    <n v="1719"/>
    <x v="313"/>
    <x v="322"/>
    <n v="0"/>
    <d v="2022-01-01T00:00:00"/>
    <x v="354"/>
  </r>
  <r>
    <x v="9"/>
    <x v="15"/>
    <x v="334"/>
    <x v="293"/>
    <n v="0"/>
    <n v="48"/>
    <n v="734"/>
    <x v="314"/>
    <x v="290"/>
    <n v="0"/>
    <d v="2022-01-01T00:00:00"/>
    <x v="355"/>
  </r>
  <r>
    <x v="9"/>
    <x v="16"/>
    <x v="335"/>
    <x v="294"/>
    <n v="192"/>
    <n v="1"/>
    <n v="381"/>
    <x v="315"/>
    <x v="294"/>
    <n v="0"/>
    <d v="2022-01-01T00:00:00"/>
    <x v="356"/>
  </r>
  <r>
    <x v="9"/>
    <x v="17"/>
    <x v="336"/>
    <x v="295"/>
    <n v="0"/>
    <n v="688"/>
    <n v="366"/>
    <x v="316"/>
    <x v="37"/>
    <n v="0"/>
    <d v="2022-01-01T00:00:00"/>
    <x v="357"/>
  </r>
  <r>
    <x v="9"/>
    <x v="18"/>
    <x v="337"/>
    <x v="296"/>
    <n v="0"/>
    <n v="9"/>
    <n v="111"/>
    <x v="317"/>
    <x v="323"/>
    <n v="0"/>
    <d v="2022-01-01T00:00:00"/>
    <x v="358"/>
  </r>
  <r>
    <x v="9"/>
    <x v="19"/>
    <x v="338"/>
    <x v="297"/>
    <n v="15"/>
    <n v="0"/>
    <n v="749"/>
    <x v="318"/>
    <x v="290"/>
    <n v="0"/>
    <d v="2022-01-01T00:00:00"/>
    <x v="359"/>
  </r>
  <r>
    <x v="9"/>
    <x v="20"/>
    <x v="339"/>
    <x v="298"/>
    <n v="0"/>
    <n v="39"/>
    <n v="360"/>
    <x v="319"/>
    <x v="37"/>
    <n v="0"/>
    <d v="2022-01-01T00:00:00"/>
    <x v="360"/>
  </r>
  <r>
    <x v="9"/>
    <x v="21"/>
    <x v="340"/>
    <x v="299"/>
    <n v="0"/>
    <n v="120"/>
    <n v="469"/>
    <x v="320"/>
    <x v="324"/>
    <n v="0"/>
    <d v="2022-01-01T00:00:00"/>
    <x v="361"/>
  </r>
  <r>
    <x v="9"/>
    <x v="22"/>
    <x v="341"/>
    <x v="300"/>
    <n v="0"/>
    <n v="220"/>
    <n v="228"/>
    <x v="319"/>
    <x v="325"/>
    <n v="0"/>
    <d v="2022-01-01T00:00:00"/>
    <x v="362"/>
  </r>
  <r>
    <x v="9"/>
    <x v="23"/>
    <x v="342"/>
    <x v="301"/>
    <n v="519"/>
    <n v="0"/>
    <n v="3177"/>
    <x v="321"/>
    <x v="326"/>
    <n v="0"/>
    <d v="2022-01-01T00:00:00"/>
    <x v="363"/>
  </r>
  <r>
    <x v="9"/>
    <x v="24"/>
    <x v="343"/>
    <x v="248"/>
    <n v="23"/>
    <n v="0"/>
    <n v="30"/>
    <x v="322"/>
    <x v="327"/>
    <n v="0"/>
    <d v="2022-01-01T00:00:00"/>
    <x v="364"/>
  </r>
  <r>
    <x v="9"/>
    <x v="25"/>
    <x v="308"/>
    <x v="302"/>
    <n v="4"/>
    <n v="13"/>
    <n v="1129"/>
    <x v="323"/>
    <x v="299"/>
    <n v="0"/>
    <d v="2022-01-01T00:00:00"/>
    <x v="365"/>
  </r>
  <r>
    <x v="9"/>
    <x v="26"/>
    <x v="344"/>
    <x v="303"/>
    <n v="0"/>
    <n v="12"/>
    <n v="1"/>
    <x v="324"/>
    <x v="295"/>
    <n v="0"/>
    <d v="2022-01-01T00:00:00"/>
    <x v="366"/>
  </r>
  <r>
    <x v="9"/>
    <x v="27"/>
    <x v="345"/>
    <x v="300"/>
    <n v="0"/>
    <n v="6"/>
    <n v="527"/>
    <x v="325"/>
    <x v="328"/>
    <n v="0"/>
    <d v="2022-01-01T00:00:00"/>
    <x v="367"/>
  </r>
  <r>
    <x v="9"/>
    <x v="28"/>
    <x v="346"/>
    <x v="304"/>
    <n v="134"/>
    <n v="82"/>
    <n v="3826"/>
    <x v="326"/>
    <x v="303"/>
    <n v="0"/>
    <d v="2022-01-01T00:00:00"/>
    <x v="368"/>
  </r>
  <r>
    <x v="9"/>
    <x v="29"/>
    <x v="347"/>
    <x v="288"/>
    <n v="84"/>
    <n v="234"/>
    <n v="2344"/>
    <x v="327"/>
    <x v="329"/>
    <n v="0"/>
    <d v="2022-01-01T00:00:00"/>
    <x v="369"/>
  </r>
  <r>
    <x v="9"/>
    <x v="30"/>
    <x v="348"/>
    <x v="305"/>
    <n v="0"/>
    <n v="0"/>
    <n v="2452"/>
    <x v="299"/>
    <x v="37"/>
    <n v="0"/>
    <d v="2022-01-01T00:00:00"/>
    <x v="370"/>
  </r>
  <r>
    <x v="9"/>
    <x v="46"/>
    <x v="349"/>
    <x v="306"/>
    <n v="312"/>
    <n v="5550"/>
    <n v="1"/>
    <x v="35"/>
    <x v="325"/>
    <n v="0"/>
    <d v="2022-01-01T00:00:00"/>
    <x v="371"/>
  </r>
  <r>
    <x v="9"/>
    <x v="45"/>
    <x v="350"/>
    <x v="307"/>
    <n v="0"/>
    <n v="2657"/>
    <n v="723"/>
    <x v="328"/>
    <x v="330"/>
    <n v="0"/>
    <d v="2022-01-01T00:00:00"/>
    <x v="372"/>
  </r>
  <r>
    <x v="9"/>
    <x v="48"/>
    <x v="351"/>
    <x v="308"/>
    <n v="26"/>
    <n v="2235"/>
    <n v="4505"/>
    <x v="329"/>
    <x v="331"/>
    <n v="0"/>
    <d v="2022-01-01T00:00:00"/>
    <x v="373"/>
  </r>
  <r>
    <x v="9"/>
    <x v="47"/>
    <x v="352"/>
    <x v="309"/>
    <n v="0"/>
    <n v="41"/>
    <n v="2223"/>
    <x v="330"/>
    <x v="295"/>
    <n v="0"/>
    <d v="2022-01-01T00:00:00"/>
    <x v="374"/>
  </r>
  <r>
    <x v="9"/>
    <x v="35"/>
    <x v="316"/>
    <x v="310"/>
    <n v="0"/>
    <n v="5"/>
    <n v="0"/>
    <x v="35"/>
    <x v="332"/>
    <n v="0"/>
    <d v="2022-01-01T00:00:00"/>
    <x v="375"/>
  </r>
  <r>
    <x v="9"/>
    <x v="44"/>
    <x v="36"/>
    <x v="35"/>
    <n v="0"/>
    <n v="0"/>
    <n v="1744"/>
    <x v="35"/>
    <x v="37"/>
    <n v="24597"/>
    <d v="2022-01-01T00:00:00"/>
    <x v="376"/>
  </r>
  <r>
    <x v="9"/>
    <x v="37"/>
    <x v="36"/>
    <x v="35"/>
    <n v="51801"/>
    <n v="0"/>
    <n v="861"/>
    <x v="35"/>
    <x v="37"/>
    <n v="10916"/>
    <d v="2022-01-01T00:00:00"/>
    <x v="377"/>
  </r>
  <r>
    <x v="10"/>
    <x v="0"/>
    <x v="353"/>
    <x v="311"/>
    <n v="28"/>
    <n v="5"/>
    <n v="195"/>
    <x v="331"/>
    <x v="267"/>
    <n v="0"/>
    <d v="2023-01-01T00:00:00"/>
    <x v="378"/>
  </r>
  <r>
    <x v="10"/>
    <x v="39"/>
    <x v="354"/>
    <x v="312"/>
    <n v="0"/>
    <n v="7"/>
    <n v="309"/>
    <x v="332"/>
    <x v="321"/>
    <n v="0"/>
    <d v="2023-01-01T00:00:00"/>
    <x v="379"/>
  </r>
  <r>
    <x v="10"/>
    <x v="2"/>
    <x v="355"/>
    <x v="313"/>
    <n v="73"/>
    <n v="45"/>
    <n v="237"/>
    <x v="333"/>
    <x v="306"/>
    <n v="0"/>
    <d v="2023-01-01T00:00:00"/>
    <x v="380"/>
  </r>
  <r>
    <x v="10"/>
    <x v="3"/>
    <x v="356"/>
    <x v="314"/>
    <n v="0"/>
    <n v="0"/>
    <n v="1294"/>
    <x v="334"/>
    <x v="333"/>
    <n v="0"/>
    <d v="2023-01-01T00:00:00"/>
    <x v="381"/>
  </r>
  <r>
    <x v="10"/>
    <x v="6"/>
    <x v="357"/>
    <x v="315"/>
    <n v="0"/>
    <n v="51"/>
    <n v="1711"/>
    <x v="335"/>
    <x v="334"/>
    <n v="0"/>
    <d v="2023-01-01T00:00:00"/>
    <x v="382"/>
  </r>
  <r>
    <x v="10"/>
    <x v="7"/>
    <x v="358"/>
    <x v="316"/>
    <n v="0"/>
    <n v="41"/>
    <n v="1347"/>
    <x v="336"/>
    <x v="297"/>
    <n v="0"/>
    <d v="2023-01-01T00:00:00"/>
    <x v="383"/>
  </r>
  <r>
    <x v="10"/>
    <x v="4"/>
    <x v="359"/>
    <x v="317"/>
    <n v="0"/>
    <n v="0"/>
    <n v="469"/>
    <x v="337"/>
    <x v="335"/>
    <n v="0"/>
    <d v="2023-01-01T00:00:00"/>
    <x v="384"/>
  </r>
  <r>
    <x v="10"/>
    <x v="5"/>
    <x v="360"/>
    <x v="318"/>
    <n v="0"/>
    <n v="0"/>
    <n v="1133"/>
    <x v="338"/>
    <x v="336"/>
    <n v="0"/>
    <d v="2023-01-01T00:00:00"/>
    <x v="385"/>
  </r>
  <r>
    <x v="10"/>
    <x v="8"/>
    <x v="361"/>
    <x v="319"/>
    <n v="0"/>
    <n v="9"/>
    <n v="375"/>
    <x v="339"/>
    <x v="312"/>
    <n v="0"/>
    <d v="2023-01-01T00:00:00"/>
    <x v="386"/>
  </r>
  <r>
    <x v="10"/>
    <x v="13"/>
    <x v="362"/>
    <x v="320"/>
    <n v="6"/>
    <n v="1823"/>
    <n v="2084"/>
    <x v="340"/>
    <x v="337"/>
    <n v="0"/>
    <d v="2023-01-01T00:00:00"/>
    <x v="387"/>
  </r>
  <r>
    <x v="10"/>
    <x v="9"/>
    <x v="363"/>
    <x v="321"/>
    <n v="437"/>
    <n v="2"/>
    <n v="596"/>
    <x v="341"/>
    <x v="338"/>
    <n v="0"/>
    <d v="2023-01-01T00:00:00"/>
    <x v="388"/>
  </r>
  <r>
    <x v="10"/>
    <x v="10"/>
    <x v="303"/>
    <x v="322"/>
    <n v="0"/>
    <n v="0"/>
    <n v="20"/>
    <x v="342"/>
    <x v="339"/>
    <n v="0"/>
    <d v="2023-01-01T00:00:00"/>
    <x v="389"/>
  </r>
  <r>
    <x v="10"/>
    <x v="11"/>
    <x v="364"/>
    <x v="323"/>
    <n v="0"/>
    <n v="33"/>
    <n v="2660"/>
    <x v="343"/>
    <x v="325"/>
    <n v="0"/>
    <d v="2023-01-01T00:00:00"/>
    <x v="390"/>
  </r>
  <r>
    <x v="10"/>
    <x v="12"/>
    <x v="365"/>
    <x v="324"/>
    <n v="0"/>
    <n v="99"/>
    <n v="433"/>
    <x v="309"/>
    <x v="295"/>
    <n v="0"/>
    <d v="2023-01-01T00:00:00"/>
    <x v="391"/>
  </r>
  <r>
    <x v="10"/>
    <x v="14"/>
    <x v="366"/>
    <x v="325"/>
    <n v="1"/>
    <n v="128"/>
    <n v="957"/>
    <x v="344"/>
    <x v="340"/>
    <n v="0"/>
    <d v="2023-01-01T00:00:00"/>
    <x v="392"/>
  </r>
  <r>
    <x v="10"/>
    <x v="15"/>
    <x v="367"/>
    <x v="326"/>
    <n v="0"/>
    <n v="41"/>
    <n v="819"/>
    <x v="345"/>
    <x v="341"/>
    <n v="0"/>
    <d v="2023-01-01T00:00:00"/>
    <x v="393"/>
  </r>
  <r>
    <x v="10"/>
    <x v="16"/>
    <x v="368"/>
    <x v="327"/>
    <n v="5"/>
    <n v="10"/>
    <n v="197"/>
    <x v="284"/>
    <x v="342"/>
    <n v="0"/>
    <d v="2023-01-01T00:00:00"/>
    <x v="394"/>
  </r>
  <r>
    <x v="10"/>
    <x v="17"/>
    <x v="369"/>
    <x v="328"/>
    <n v="0"/>
    <n v="533"/>
    <n v="571"/>
    <x v="346"/>
    <x v="340"/>
    <n v="0"/>
    <d v="2023-01-01T00:00:00"/>
    <x v="395"/>
  </r>
  <r>
    <x v="10"/>
    <x v="18"/>
    <x v="370"/>
    <x v="329"/>
    <n v="0"/>
    <n v="0"/>
    <n v="310"/>
    <x v="347"/>
    <x v="343"/>
    <n v="0"/>
    <d v="2023-01-01T00:00:00"/>
    <x v="396"/>
  </r>
  <r>
    <x v="10"/>
    <x v="19"/>
    <x v="371"/>
    <x v="330"/>
    <n v="0"/>
    <n v="0"/>
    <n v="976"/>
    <x v="348"/>
    <x v="290"/>
    <n v="0"/>
    <d v="2023-01-01T00:00:00"/>
    <x v="397"/>
  </r>
  <r>
    <x v="10"/>
    <x v="20"/>
    <x v="372"/>
    <x v="331"/>
    <n v="0"/>
    <n v="46"/>
    <n v="281"/>
    <x v="349"/>
    <x v="344"/>
    <n v="0"/>
    <d v="2023-01-01T00:00:00"/>
    <x v="398"/>
  </r>
  <r>
    <x v="10"/>
    <x v="21"/>
    <x v="373"/>
    <x v="332"/>
    <n v="2"/>
    <n v="125"/>
    <n v="371"/>
    <x v="350"/>
    <x v="345"/>
    <n v="0"/>
    <d v="2023-01-01T00:00:00"/>
    <x v="399"/>
  </r>
  <r>
    <x v="10"/>
    <x v="22"/>
    <x v="374"/>
    <x v="333"/>
    <n v="0"/>
    <n v="258"/>
    <n v="199"/>
    <x v="277"/>
    <x v="290"/>
    <n v="0"/>
    <d v="2023-01-01T00:00:00"/>
    <x v="400"/>
  </r>
  <r>
    <x v="10"/>
    <x v="23"/>
    <x v="375"/>
    <x v="334"/>
    <n v="0"/>
    <n v="0"/>
    <n v="2650"/>
    <x v="351"/>
    <x v="346"/>
    <n v="0"/>
    <d v="2023-01-01T00:00:00"/>
    <x v="401"/>
  </r>
  <r>
    <x v="10"/>
    <x v="24"/>
    <x v="376"/>
    <x v="335"/>
    <n v="0"/>
    <n v="0"/>
    <n v="119"/>
    <x v="352"/>
    <x v="347"/>
    <n v="0"/>
    <d v="2023-01-01T00:00:00"/>
    <x v="402"/>
  </r>
  <r>
    <x v="10"/>
    <x v="25"/>
    <x v="377"/>
    <x v="336"/>
    <n v="2"/>
    <n v="11"/>
    <n v="1014"/>
    <x v="353"/>
    <x v="348"/>
    <n v="0"/>
    <d v="2023-01-01T00:00:00"/>
    <x v="403"/>
  </r>
  <r>
    <x v="10"/>
    <x v="26"/>
    <x v="378"/>
    <x v="337"/>
    <n v="0"/>
    <n v="0"/>
    <n v="3"/>
    <x v="354"/>
    <x v="311"/>
    <n v="0"/>
    <d v="2023-01-01T00:00:00"/>
    <x v="404"/>
  </r>
  <r>
    <x v="10"/>
    <x v="27"/>
    <x v="379"/>
    <x v="338"/>
    <n v="0"/>
    <n v="0"/>
    <n v="211"/>
    <x v="355"/>
    <x v="349"/>
    <n v="0"/>
    <d v="2023-01-01T00:00:00"/>
    <x v="405"/>
  </r>
  <r>
    <x v="10"/>
    <x v="28"/>
    <x v="380"/>
    <x v="339"/>
    <n v="0"/>
    <n v="82"/>
    <n v="841"/>
    <x v="356"/>
    <x v="350"/>
    <n v="0"/>
    <d v="2023-01-01T00:00:00"/>
    <x v="406"/>
  </r>
  <r>
    <x v="10"/>
    <x v="29"/>
    <x v="381"/>
    <x v="340"/>
    <n v="1"/>
    <n v="66"/>
    <n v="2891"/>
    <x v="357"/>
    <x v="307"/>
    <n v="0"/>
    <d v="2023-01-01T00:00:00"/>
    <x v="407"/>
  </r>
  <r>
    <x v="10"/>
    <x v="30"/>
    <x v="382"/>
    <x v="341"/>
    <n v="0"/>
    <n v="0"/>
    <n v="1403"/>
    <x v="358"/>
    <x v="37"/>
    <n v="0"/>
    <d v="2023-01-01T00:00:00"/>
    <x v="408"/>
  </r>
  <r>
    <x v="10"/>
    <x v="46"/>
    <x v="383"/>
    <x v="342"/>
    <n v="891"/>
    <n v="4979"/>
    <n v="362"/>
    <x v="359"/>
    <x v="351"/>
    <n v="0"/>
    <d v="2023-01-01T00:00:00"/>
    <x v="409"/>
  </r>
  <r>
    <x v="10"/>
    <x v="45"/>
    <x v="384"/>
    <x v="343"/>
    <n v="5"/>
    <n v="2142"/>
    <n v="639"/>
    <x v="360"/>
    <x v="352"/>
    <n v="0"/>
    <d v="2023-01-01T00:00:00"/>
    <x v="410"/>
  </r>
  <r>
    <x v="10"/>
    <x v="48"/>
    <x v="385"/>
    <x v="344"/>
    <n v="0"/>
    <n v="2012"/>
    <n v="1445"/>
    <x v="35"/>
    <x v="37"/>
    <n v="0"/>
    <d v="2023-01-01T00:00:00"/>
    <x v="411"/>
  </r>
  <r>
    <x v="10"/>
    <x v="47"/>
    <x v="289"/>
    <x v="345"/>
    <n v="220"/>
    <n v="21"/>
    <n v="2464"/>
    <x v="361"/>
    <x v="343"/>
    <n v="0"/>
    <d v="2023-01-01T00:00:00"/>
    <x v="412"/>
  </r>
  <r>
    <x v="10"/>
    <x v="35"/>
    <x v="386"/>
    <x v="346"/>
    <n v="0"/>
    <n v="3"/>
    <n v="0"/>
    <x v="299"/>
    <x v="343"/>
    <n v="0"/>
    <d v="2023-01-01T00:00:00"/>
    <x v="413"/>
  </r>
  <r>
    <x v="10"/>
    <x v="44"/>
    <x v="36"/>
    <x v="35"/>
    <n v="0"/>
    <n v="0"/>
    <n v="3858"/>
    <x v="35"/>
    <x v="37"/>
    <n v="53086"/>
    <d v="2023-01-01T00:00:00"/>
    <x v="414"/>
  </r>
  <r>
    <x v="10"/>
    <x v="37"/>
    <x v="36"/>
    <x v="347"/>
    <n v="0"/>
    <n v="0"/>
    <n v="1789"/>
    <x v="35"/>
    <x v="37"/>
    <n v="27071"/>
    <d v="2023-01-01T00:00:00"/>
    <x v="415"/>
  </r>
  <r>
    <x v="11"/>
    <x v="0"/>
    <x v="387"/>
    <x v="348"/>
    <n v="0"/>
    <n v="28"/>
    <n v="174"/>
    <x v="362"/>
    <x v="353"/>
    <n v="0"/>
    <d v="2024-01-01T00:00:00"/>
    <x v="416"/>
  </r>
  <r>
    <x v="11"/>
    <x v="1"/>
    <x v="388"/>
    <x v="349"/>
    <n v="19"/>
    <n v="0"/>
    <n v="257"/>
    <x v="363"/>
    <x v="290"/>
    <n v="0"/>
    <d v="2024-01-01T00:00:00"/>
    <x v="417"/>
  </r>
  <r>
    <x v="11"/>
    <x v="2"/>
    <x v="389"/>
    <x v="350"/>
    <n v="250"/>
    <n v="59"/>
    <n v="163"/>
    <x v="364"/>
    <x v="348"/>
    <n v="0"/>
    <d v="2024-01-01T00:00:00"/>
    <x v="418"/>
  </r>
  <r>
    <x v="11"/>
    <x v="3"/>
    <x v="390"/>
    <x v="351"/>
    <n v="19"/>
    <n v="0"/>
    <n v="1322"/>
    <x v="365"/>
    <x v="354"/>
    <n v="0"/>
    <d v="2024-01-01T00:00:00"/>
    <x v="419"/>
  </r>
  <r>
    <x v="11"/>
    <x v="4"/>
    <x v="391"/>
    <x v="352"/>
    <n v="0"/>
    <n v="0"/>
    <n v="607"/>
    <x v="366"/>
    <x v="355"/>
    <n v="0"/>
    <d v="2024-01-01T00:00:00"/>
    <x v="420"/>
  </r>
  <r>
    <x v="11"/>
    <x v="5"/>
    <x v="392"/>
    <x v="353"/>
    <n v="0"/>
    <n v="0"/>
    <n v="1177"/>
    <x v="367"/>
    <x v="356"/>
    <n v="0"/>
    <d v="2024-01-01T00:00:00"/>
    <x v="421"/>
  </r>
  <r>
    <x v="11"/>
    <x v="6"/>
    <x v="316"/>
    <x v="354"/>
    <n v="0"/>
    <n v="0"/>
    <n v="1450"/>
    <x v="368"/>
    <x v="357"/>
    <n v="0"/>
    <d v="2024-01-01T00:00:00"/>
    <x v="422"/>
  </r>
  <r>
    <x v="11"/>
    <x v="7"/>
    <x v="393"/>
    <x v="256"/>
    <n v="0"/>
    <n v="4"/>
    <n v="118"/>
    <x v="369"/>
    <x v="339"/>
    <n v="0"/>
    <d v="2024-01-01T00:00:00"/>
    <x v="423"/>
  </r>
  <r>
    <x v="11"/>
    <x v="8"/>
    <x v="394"/>
    <x v="354"/>
    <n v="0"/>
    <n v="8"/>
    <n v="486"/>
    <x v="370"/>
    <x v="325"/>
    <n v="0"/>
    <d v="2024-01-01T00:00:00"/>
    <x v="424"/>
  </r>
  <r>
    <x v="11"/>
    <x v="9"/>
    <x v="395"/>
    <x v="355"/>
    <n v="4"/>
    <n v="1"/>
    <n v="804"/>
    <x v="371"/>
    <x v="312"/>
    <n v="0"/>
    <d v="2024-01-01T00:00:00"/>
    <x v="425"/>
  </r>
  <r>
    <x v="11"/>
    <x v="10"/>
    <x v="396"/>
    <x v="356"/>
    <n v="104"/>
    <n v="6"/>
    <n v="38"/>
    <x v="372"/>
    <x v="293"/>
    <n v="0"/>
    <d v="2024-01-01T00:00:00"/>
    <x v="426"/>
  </r>
  <r>
    <x v="11"/>
    <x v="11"/>
    <x v="397"/>
    <x v="357"/>
    <n v="0"/>
    <n v="20"/>
    <n v="2989"/>
    <x v="373"/>
    <x v="322"/>
    <n v="0"/>
    <d v="2024-01-01T00:00:00"/>
    <x v="427"/>
  </r>
  <r>
    <x v="11"/>
    <x v="12"/>
    <x v="398"/>
    <x v="358"/>
    <n v="0"/>
    <n v="76"/>
    <n v="521"/>
    <x v="292"/>
    <x v="308"/>
    <n v="0"/>
    <d v="2024-01-01T00:00:00"/>
    <x v="428"/>
  </r>
  <r>
    <x v="11"/>
    <x v="13"/>
    <x v="399"/>
    <x v="359"/>
    <n v="694"/>
    <n v="2294"/>
    <n v="1286"/>
    <x v="374"/>
    <x v="358"/>
    <n v="0"/>
    <d v="2024-01-01T00:00:00"/>
    <x v="429"/>
  </r>
  <r>
    <x v="11"/>
    <x v="14"/>
    <x v="400"/>
    <x v="360"/>
    <n v="2"/>
    <n v="120"/>
    <n v="1081"/>
    <x v="375"/>
    <x v="359"/>
    <n v="0"/>
    <d v="2024-01-01T00:00:00"/>
    <x v="430"/>
  </r>
  <r>
    <x v="11"/>
    <x v="15"/>
    <x v="401"/>
    <x v="361"/>
    <n v="0"/>
    <n v="37"/>
    <n v="698"/>
    <x v="376"/>
    <x v="360"/>
    <n v="0"/>
    <d v="2024-01-01T00:00:00"/>
    <x v="431"/>
  </r>
  <r>
    <x v="11"/>
    <x v="16"/>
    <x v="402"/>
    <x v="362"/>
    <n v="0"/>
    <n v="0"/>
    <n v="180"/>
    <x v="377"/>
    <x v="361"/>
    <n v="0"/>
    <d v="2024-01-01T00:00:00"/>
    <x v="432"/>
  </r>
  <r>
    <x v="11"/>
    <x v="17"/>
    <x v="403"/>
    <x v="363"/>
    <n v="0"/>
    <n v="529"/>
    <n v="720"/>
    <x v="378"/>
    <x v="311"/>
    <n v="0"/>
    <d v="2024-01-01T00:00:00"/>
    <x v="433"/>
  </r>
  <r>
    <x v="11"/>
    <x v="18"/>
    <x v="404"/>
    <x v="364"/>
    <n v="0"/>
    <n v="3"/>
    <n v="620"/>
    <x v="379"/>
    <x v="362"/>
    <n v="0"/>
    <d v="2024-01-01T00:00:00"/>
    <x v="434"/>
  </r>
  <r>
    <x v="11"/>
    <x v="19"/>
    <x v="405"/>
    <x v="365"/>
    <n v="0"/>
    <n v="0"/>
    <n v="1302"/>
    <x v="380"/>
    <x v="290"/>
    <n v="0"/>
    <d v="2024-01-01T00:00:00"/>
    <x v="435"/>
  </r>
  <r>
    <x v="11"/>
    <x v="20"/>
    <x v="406"/>
    <x v="366"/>
    <n v="10"/>
    <n v="6"/>
    <n v="222"/>
    <x v="307"/>
    <x v="363"/>
    <n v="0"/>
    <d v="2024-01-01T00:00:00"/>
    <x v="436"/>
  </r>
  <r>
    <x v="11"/>
    <x v="21"/>
    <x v="407"/>
    <x v="265"/>
    <n v="0"/>
    <n v="115"/>
    <n v="264"/>
    <x v="274"/>
    <x v="301"/>
    <n v="0"/>
    <d v="2024-01-01T00:00:00"/>
    <x v="437"/>
  </r>
  <r>
    <x v="11"/>
    <x v="22"/>
    <x v="326"/>
    <x v="367"/>
    <n v="0"/>
    <n v="276"/>
    <n v="234"/>
    <x v="381"/>
    <x v="37"/>
    <n v="0"/>
    <d v="2024-01-01T00:00:00"/>
    <x v="438"/>
  </r>
  <r>
    <x v="11"/>
    <x v="23"/>
    <x v="408"/>
    <x v="368"/>
    <n v="0"/>
    <n v="0"/>
    <n v="2900"/>
    <x v="382"/>
    <x v="364"/>
    <n v="0"/>
    <d v="2024-01-01T00:00:00"/>
    <x v="439"/>
  </r>
  <r>
    <x v="11"/>
    <x v="24"/>
    <x v="289"/>
    <x v="369"/>
    <n v="11"/>
    <n v="0"/>
    <n v="269"/>
    <x v="383"/>
    <x v="365"/>
    <n v="0"/>
    <d v="2024-01-01T00:00:00"/>
    <x v="440"/>
  </r>
  <r>
    <x v="11"/>
    <x v="25"/>
    <x v="352"/>
    <x v="254"/>
    <n v="0"/>
    <n v="0"/>
    <n v="1091"/>
    <x v="384"/>
    <x v="366"/>
    <n v="0"/>
    <d v="2024-01-01T00:00:00"/>
    <x v="441"/>
  </r>
  <r>
    <x v="11"/>
    <x v="26"/>
    <x v="395"/>
    <x v="370"/>
    <n v="0"/>
    <n v="0"/>
    <n v="2"/>
    <x v="35"/>
    <x v="290"/>
    <n v="0"/>
    <d v="2024-01-01T00:00:00"/>
    <x v="442"/>
  </r>
  <r>
    <x v="11"/>
    <x v="27"/>
    <x v="409"/>
    <x v="371"/>
    <n v="0"/>
    <n v="0"/>
    <n v="95"/>
    <x v="385"/>
    <x v="367"/>
    <n v="0"/>
    <d v="2024-01-01T00:00:00"/>
    <x v="443"/>
  </r>
  <r>
    <x v="11"/>
    <x v="28"/>
    <x v="319"/>
    <x v="372"/>
    <n v="1"/>
    <n v="111"/>
    <n v="1014"/>
    <x v="386"/>
    <x v="368"/>
    <n v="0"/>
    <d v="2024-01-01T00:00:00"/>
    <x v="444"/>
  </r>
  <r>
    <x v="11"/>
    <x v="29"/>
    <x v="410"/>
    <x v="330"/>
    <n v="29"/>
    <n v="206"/>
    <n v="2768"/>
    <x v="387"/>
    <x v="369"/>
    <n v="0"/>
    <d v="2024-01-01T00:00:00"/>
    <x v="445"/>
  </r>
  <r>
    <x v="11"/>
    <x v="30"/>
    <x v="411"/>
    <x v="373"/>
    <n v="0"/>
    <n v="0"/>
    <n v="1865"/>
    <x v="35"/>
    <x v="37"/>
    <n v="0"/>
    <d v="2024-01-01T00:00:00"/>
    <x v="446"/>
  </r>
  <r>
    <x v="11"/>
    <x v="31"/>
    <x v="412"/>
    <x v="374"/>
    <n v="0"/>
    <n v="2594"/>
    <n v="742"/>
    <x v="357"/>
    <x v="281"/>
    <n v="0"/>
    <d v="2024-01-01T00:00:00"/>
    <x v="447"/>
  </r>
  <r>
    <x v="11"/>
    <x v="32"/>
    <x v="413"/>
    <x v="375"/>
    <n v="0"/>
    <n v="4859"/>
    <n v="1042"/>
    <x v="81"/>
    <x v="37"/>
    <n v="0"/>
    <d v="2024-01-01T00:00:00"/>
    <x v="448"/>
  </r>
  <r>
    <x v="11"/>
    <x v="33"/>
    <x v="414"/>
    <x v="376"/>
    <n v="285"/>
    <n v="38"/>
    <n v="1732"/>
    <x v="388"/>
    <x v="370"/>
    <n v="0"/>
    <d v="2024-01-01T00:00:00"/>
    <x v="449"/>
  </r>
  <r>
    <x v="11"/>
    <x v="34"/>
    <x v="374"/>
    <x v="377"/>
    <n v="0"/>
    <n v="2083"/>
    <n v="950"/>
    <x v="35"/>
    <x v="37"/>
    <n v="0"/>
    <d v="2024-01-01T00:00:00"/>
    <x v="450"/>
  </r>
  <r>
    <x v="11"/>
    <x v="35"/>
    <x v="415"/>
    <x v="378"/>
    <n v="0"/>
    <n v="8"/>
    <n v="15"/>
    <x v="35"/>
    <x v="371"/>
    <n v="0"/>
    <d v="2024-01-01T00:00:00"/>
    <x v="451"/>
  </r>
  <r>
    <x v="11"/>
    <x v="36"/>
    <x v="36"/>
    <x v="35"/>
    <n v="0"/>
    <n v="0"/>
    <n v="2279"/>
    <x v="35"/>
    <x v="37"/>
    <n v="0"/>
    <d v="2024-01-01T00:00:00"/>
    <x v="452"/>
  </r>
  <r>
    <x v="11"/>
    <x v="37"/>
    <x v="36"/>
    <x v="35"/>
    <n v="58343"/>
    <n v="0"/>
    <n v="1000"/>
    <x v="35"/>
    <x v="37"/>
    <n v="0"/>
    <d v="2024-01-01T00:00:00"/>
    <x v="453"/>
  </r>
  <r>
    <x v="12"/>
    <x v="0"/>
    <x v="416"/>
    <x v="379"/>
    <n v="3"/>
    <n v="12"/>
    <n v="47"/>
    <x v="389"/>
    <x v="320"/>
    <n v="0"/>
    <d v="2025-01-01T00:00:00"/>
    <x v="454"/>
  </r>
  <r>
    <x v="12"/>
    <x v="1"/>
    <x v="290"/>
    <x v="380"/>
    <n v="0"/>
    <n v="0"/>
    <n v="10"/>
    <x v="324"/>
    <x v="37"/>
    <n v="0"/>
    <d v="2025-01-01T00:00:00"/>
    <x v="455"/>
  </r>
  <r>
    <x v="12"/>
    <x v="2"/>
    <x v="374"/>
    <x v="381"/>
    <n v="50"/>
    <n v="36"/>
    <n v="75"/>
    <x v="390"/>
    <x v="372"/>
    <n v="0"/>
    <d v="2025-01-01T00:00:00"/>
    <x v="456"/>
  </r>
  <r>
    <x v="12"/>
    <x v="3"/>
    <x v="340"/>
    <x v="382"/>
    <n v="0"/>
    <n v="0"/>
    <n v="447"/>
    <x v="391"/>
    <x v="373"/>
    <n v="0"/>
    <d v="2025-01-01T00:00:00"/>
    <x v="457"/>
  </r>
  <r>
    <x v="12"/>
    <x v="4"/>
    <x v="417"/>
    <x v="383"/>
    <n v="0"/>
    <n v="0"/>
    <n v="215"/>
    <x v="35"/>
    <x v="37"/>
    <n v="0"/>
    <d v="2025-01-01T00:00:00"/>
    <x v="458"/>
  </r>
  <r>
    <x v="12"/>
    <x v="5"/>
    <x v="307"/>
    <x v="384"/>
    <n v="0"/>
    <n v="0"/>
    <n v="207"/>
    <x v="392"/>
    <x v="37"/>
    <n v="0"/>
    <d v="2025-01-01T00:00:00"/>
    <x v="459"/>
  </r>
  <r>
    <x v="12"/>
    <x v="6"/>
    <x v="418"/>
    <x v="385"/>
    <n v="40"/>
    <n v="0"/>
    <n v="618"/>
    <x v="393"/>
    <x v="374"/>
    <n v="0"/>
    <d v="2025-01-01T00:00:00"/>
    <x v="460"/>
  </r>
  <r>
    <x v="12"/>
    <x v="7"/>
    <x v="418"/>
    <x v="386"/>
    <n v="0"/>
    <n v="0"/>
    <n v="352"/>
    <x v="329"/>
    <x v="375"/>
    <n v="0"/>
    <d v="2025-01-01T00:00:00"/>
    <x v="461"/>
  </r>
  <r>
    <x v="12"/>
    <x v="8"/>
    <x v="419"/>
    <x v="387"/>
    <n v="0"/>
    <n v="0"/>
    <n v="55"/>
    <x v="394"/>
    <x v="340"/>
    <n v="0"/>
    <d v="2025-01-01T00:00:00"/>
    <x v="462"/>
  </r>
  <r>
    <x v="12"/>
    <x v="9"/>
    <x v="420"/>
    <x v="388"/>
    <n v="0"/>
    <n v="0"/>
    <n v="18"/>
    <x v="395"/>
    <x v="37"/>
    <n v="0"/>
    <d v="2025-01-01T00:00:00"/>
    <x v="463"/>
  </r>
  <r>
    <x v="12"/>
    <x v="10"/>
    <x v="421"/>
    <x v="297"/>
    <n v="0"/>
    <n v="5"/>
    <n v="0"/>
    <x v="396"/>
    <x v="37"/>
    <n v="0"/>
    <d v="2025-01-01T00:00:00"/>
    <x v="464"/>
  </r>
  <r>
    <x v="12"/>
    <x v="11"/>
    <x v="422"/>
    <x v="389"/>
    <n v="0"/>
    <n v="13"/>
    <n v="503"/>
    <x v="397"/>
    <x v="37"/>
    <n v="0"/>
    <d v="2025-01-01T00:00:00"/>
    <x v="465"/>
  </r>
  <r>
    <x v="12"/>
    <x v="12"/>
    <x v="407"/>
    <x v="322"/>
    <n v="0"/>
    <n v="31"/>
    <n v="157"/>
    <x v="258"/>
    <x v="312"/>
    <n v="0"/>
    <d v="2025-01-01T00:00:00"/>
    <x v="466"/>
  </r>
  <r>
    <x v="12"/>
    <x v="13"/>
    <x v="423"/>
    <x v="390"/>
    <n v="172"/>
    <n v="806"/>
    <n v="217"/>
    <x v="287"/>
    <x v="327"/>
    <n v="0"/>
    <d v="2025-01-01T00:00:00"/>
    <x v="467"/>
  </r>
  <r>
    <x v="12"/>
    <x v="14"/>
    <x v="424"/>
    <x v="391"/>
    <n v="37"/>
    <n v="49"/>
    <n v="347"/>
    <x v="398"/>
    <x v="322"/>
    <n v="0"/>
    <d v="2025-01-01T00:00:00"/>
    <x v="468"/>
  </r>
  <r>
    <x v="12"/>
    <x v="15"/>
    <x v="425"/>
    <x v="392"/>
    <n v="0"/>
    <n v="8"/>
    <n v="291"/>
    <x v="286"/>
    <x v="376"/>
    <n v="0"/>
    <d v="2025-01-01T00:00:00"/>
    <x v="469"/>
  </r>
  <r>
    <x v="12"/>
    <x v="16"/>
    <x v="386"/>
    <x v="263"/>
    <n v="0"/>
    <n v="0"/>
    <n v="65"/>
    <x v="399"/>
    <x v="37"/>
    <n v="0"/>
    <d v="2025-01-01T00:00:00"/>
    <x v="470"/>
  </r>
  <r>
    <x v="12"/>
    <x v="17"/>
    <x v="426"/>
    <x v="393"/>
    <n v="10"/>
    <n v="220"/>
    <n v="68"/>
    <x v="400"/>
    <x v="312"/>
    <n v="0"/>
    <d v="2025-01-01T00:00:00"/>
    <x v="471"/>
  </r>
  <r>
    <x v="12"/>
    <x v="18"/>
    <x v="427"/>
    <x v="394"/>
    <n v="0"/>
    <n v="2"/>
    <n v="241"/>
    <x v="401"/>
    <x v="377"/>
    <n v="0"/>
    <d v="2025-01-01T00:00:00"/>
    <x v="472"/>
  </r>
  <r>
    <x v="12"/>
    <x v="19"/>
    <x v="428"/>
    <x v="395"/>
    <n v="0"/>
    <n v="0"/>
    <n v="320"/>
    <x v="402"/>
    <x v="311"/>
    <n v="0"/>
    <d v="2025-01-01T00:00:00"/>
    <x v="473"/>
  </r>
  <r>
    <x v="12"/>
    <x v="20"/>
    <x v="429"/>
    <x v="396"/>
    <n v="39"/>
    <n v="0"/>
    <n v="66"/>
    <x v="403"/>
    <x v="293"/>
    <n v="0"/>
    <d v="2025-01-01T00:00:00"/>
    <x v="466"/>
  </r>
  <r>
    <x v="12"/>
    <x v="21"/>
    <x v="430"/>
    <x v="397"/>
    <n v="0"/>
    <n v="37"/>
    <n v="187"/>
    <x v="404"/>
    <x v="327"/>
    <n v="0"/>
    <d v="2025-01-01T00:00:00"/>
    <x v="474"/>
  </r>
  <r>
    <x v="12"/>
    <x v="22"/>
    <x v="431"/>
    <x v="398"/>
    <n v="0"/>
    <n v="124"/>
    <n v="49"/>
    <x v="405"/>
    <x v="37"/>
    <n v="0"/>
    <d v="2025-01-01T00:00:00"/>
    <x v="475"/>
  </r>
  <r>
    <x v="12"/>
    <x v="23"/>
    <x v="36"/>
    <x v="35"/>
    <n v="0"/>
    <n v="0"/>
    <n v="0"/>
    <x v="35"/>
    <x v="37"/>
    <n v="0"/>
    <d v="2025-01-01T00:00:00"/>
    <x v="302"/>
  </r>
  <r>
    <x v="12"/>
    <x v="24"/>
    <x v="432"/>
    <x v="322"/>
    <n v="0"/>
    <n v="0"/>
    <n v="56"/>
    <x v="406"/>
    <x v="308"/>
    <n v="0"/>
    <d v="2025-01-01T00:00:00"/>
    <x v="476"/>
  </r>
  <r>
    <x v="12"/>
    <x v="25"/>
    <x v="433"/>
    <x v="399"/>
    <n v="0"/>
    <n v="3"/>
    <n v="257"/>
    <x v="407"/>
    <x v="378"/>
    <n v="0"/>
    <d v="2025-01-01T00:00:00"/>
    <x v="477"/>
  </r>
  <r>
    <x v="12"/>
    <x v="26"/>
    <x v="418"/>
    <x v="400"/>
    <n v="0"/>
    <n v="0"/>
    <n v="8"/>
    <x v="35"/>
    <x v="37"/>
    <n v="0"/>
    <d v="2025-01-01T00:00:00"/>
    <x v="478"/>
  </r>
  <r>
    <x v="12"/>
    <x v="27"/>
    <x v="434"/>
    <x v="401"/>
    <n v="1"/>
    <n v="0"/>
    <n v="30"/>
    <x v="408"/>
    <x v="379"/>
    <n v="0"/>
    <d v="2025-01-01T00:00:00"/>
    <x v="479"/>
  </r>
  <r>
    <x v="12"/>
    <x v="28"/>
    <x v="435"/>
    <x v="402"/>
    <n v="4"/>
    <n v="42"/>
    <n v="147"/>
    <x v="409"/>
    <x v="380"/>
    <n v="0"/>
    <d v="2025-01-01T00:00:00"/>
    <x v="480"/>
  </r>
  <r>
    <x v="12"/>
    <x v="29"/>
    <x v="393"/>
    <x v="403"/>
    <n v="24"/>
    <n v="78"/>
    <n v="183"/>
    <x v="410"/>
    <x v="381"/>
    <n v="0"/>
    <d v="2025-01-01T00:00:00"/>
    <x v="481"/>
  </r>
  <r>
    <x v="12"/>
    <x v="30"/>
    <x v="436"/>
    <x v="404"/>
    <n v="0"/>
    <n v="0"/>
    <n v="445"/>
    <x v="35"/>
    <x v="382"/>
    <n v="0"/>
    <d v="2025-01-01T00:00:00"/>
    <x v="482"/>
  </r>
  <r>
    <x v="12"/>
    <x v="31"/>
    <x v="437"/>
    <x v="405"/>
    <n v="0"/>
    <n v="693"/>
    <n v="372"/>
    <x v="411"/>
    <x v="383"/>
    <n v="0"/>
    <d v="2025-01-01T00:00:00"/>
    <x v="483"/>
  </r>
  <r>
    <x v="12"/>
    <x v="32"/>
    <x v="438"/>
    <x v="406"/>
    <n v="0"/>
    <n v="2393"/>
    <n v="242"/>
    <x v="412"/>
    <x v="384"/>
    <n v="0"/>
    <d v="2025-01-01T00:00:00"/>
    <x v="484"/>
  </r>
  <r>
    <x v="12"/>
    <x v="33"/>
    <x v="439"/>
    <x v="407"/>
    <n v="6"/>
    <n v="20"/>
    <n v="287"/>
    <x v="285"/>
    <x v="349"/>
    <n v="0"/>
    <d v="2025-01-01T00:00:00"/>
    <x v="485"/>
  </r>
  <r>
    <x v="12"/>
    <x v="34"/>
    <x v="407"/>
    <x v="408"/>
    <n v="0"/>
    <n v="1036"/>
    <n v="196"/>
    <x v="35"/>
    <x v="37"/>
    <n v="0"/>
    <d v="2025-01-01T00:00:00"/>
    <x v="486"/>
  </r>
  <r>
    <x v="12"/>
    <x v="35"/>
    <x v="440"/>
    <x v="409"/>
    <n v="0"/>
    <n v="3"/>
    <n v="0"/>
    <x v="35"/>
    <x v="385"/>
    <n v="0"/>
    <d v="2025-01-01T00:00:00"/>
    <x v="487"/>
  </r>
  <r>
    <x v="12"/>
    <x v="36"/>
    <x v="36"/>
    <x v="35"/>
    <n v="0"/>
    <n v="0"/>
    <n v="0"/>
    <x v="35"/>
    <x v="37"/>
    <n v="0"/>
    <d v="2025-01-01T00:00:00"/>
    <x v="302"/>
  </r>
  <r>
    <x v="12"/>
    <x v="37"/>
    <x v="36"/>
    <x v="35"/>
    <n v="41812"/>
    <n v="0"/>
    <n v="1951"/>
    <x v="35"/>
    <x v="37"/>
    <n v="0"/>
    <d v="2025-01-01T00:00:00"/>
    <x v="4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36375442"/>
  </r>
  <r>
    <x v="1"/>
    <n v="11512451"/>
  </r>
  <r>
    <x v="2"/>
    <n v="661401"/>
  </r>
  <r>
    <x v="3"/>
    <n v="322484"/>
  </r>
  <r>
    <x v="4"/>
    <n v="2175717"/>
  </r>
  <r>
    <x v="5"/>
    <n v="1962313"/>
  </r>
  <r>
    <x v="6"/>
    <n v="3250887"/>
  </r>
  <r>
    <x v="7"/>
    <n v="654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BD48-AAC3-4695-8D01-0E115DAB1328}" name="ServiciosDeportivosPorAño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4" rowHeaderCaption="Años" colHeaderCaption="Nombre Oficina Representación">
  <location ref="A6:B21" firstHeaderRow="1" firstDataRow="2" firstDataCol="1"/>
  <pivotFields count="12">
    <pivotField axis="axisRow" numFmtI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0">
        <item h="1" x="0"/>
        <item h="1" x="38"/>
        <item h="1" x="1"/>
        <item h="1" x="39"/>
        <item h="1" x="2"/>
        <item h="1" x="3"/>
        <item h="1" x="6"/>
        <item h="1" x="7"/>
        <item h="1" x="4"/>
        <item h="1" x="5"/>
        <item h="1" x="44"/>
        <item h="1" x="36"/>
        <item h="1" x="45"/>
        <item h="1" x="47"/>
        <item h="1" x="48"/>
        <item h="1" x="46"/>
        <item h="1" x="8"/>
        <item h="1" x="9"/>
        <item h="1" x="10"/>
        <item x="11"/>
        <item h="1" x="37"/>
        <item h="1" x="12"/>
        <item h="1" x="13"/>
        <item h="1" x="14"/>
        <item h="1" x="15"/>
        <item h="1" x="16"/>
        <item h="1" x="17"/>
        <item h="1" x="18"/>
        <item h="1" x="35"/>
        <item h="1" x="19"/>
        <item h="1" x="20"/>
        <item h="1" x="21"/>
        <item h="1" x="40"/>
        <item h="1" x="42"/>
        <item h="1" x="43"/>
        <item h="1" x="41"/>
        <item h="1" x="22"/>
        <item h="1" x="23"/>
        <item h="1" x="24"/>
        <item h="1" x="31"/>
        <item h="1" x="33"/>
        <item h="1" x="34"/>
        <item h="1" x="32"/>
        <item h="1" x="25"/>
        <item h="1" x="26"/>
        <item h="1" x="27"/>
        <item h="1" x="28"/>
        <item h="1" x="29"/>
        <item h="1" x="30"/>
        <item t="default"/>
      </items>
    </pivotField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4" showAll="0"/>
    <pivotField numFmtI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">
    <i>
      <x v="19"/>
    </i>
  </colItems>
  <dataFields count="1">
    <dataField name="Suma de Serv. Deportivos Derecho Hab Publ" fld="3" baseField="0" baseItem="0" numFmtId="1"/>
  </dataFields>
  <chartFormats count="5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5B79-7889-4349-AA7F-C5C2592F1090}" name="ComparaciónEntreServiciosCulturalesVsDeportivosVsSociales" cacheId="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1" rowHeaderCaption="Nombre Oficina Representación">
  <location ref="A6:I7" firstHeaderRow="0" firstDataRow="1" firstDataCol="1"/>
  <pivotFields count="12">
    <pivotField numFmtId="1" showAll="0"/>
    <pivotField axis="axisRow" showAll="0">
      <items count="50">
        <item h="1" x="0"/>
        <item h="1" x="38"/>
        <item h="1" x="1"/>
        <item h="1" x="39"/>
        <item h="1" x="2"/>
        <item h="1" x="3"/>
        <item h="1" x="6"/>
        <item h="1" x="7"/>
        <item h="1" x="4"/>
        <item h="1" x="5"/>
        <item h="1" x="44"/>
        <item h="1" x="36"/>
        <item h="1" x="45"/>
        <item h="1" x="47"/>
        <item h="1" x="48"/>
        <item h="1" x="46"/>
        <item h="1" x="8"/>
        <item h="1" x="9"/>
        <item h="1" x="10"/>
        <item x="11"/>
        <item h="1" x="37"/>
        <item h="1" x="12"/>
        <item h="1" x="13"/>
        <item h="1" x="14"/>
        <item h="1" x="15"/>
        <item h="1" x="16"/>
        <item h="1" x="17"/>
        <item h="1" x="18"/>
        <item h="1" x="35"/>
        <item h="1" x="19"/>
        <item h="1" x="20"/>
        <item h="1" x="21"/>
        <item h="1" x="40"/>
        <item h="1" x="42"/>
        <item h="1" x="43"/>
        <item h="1" x="41"/>
        <item h="1" x="22"/>
        <item h="1" x="23"/>
        <item h="1" x="24"/>
        <item h="1" x="31"/>
        <item h="1" x="33"/>
        <item h="1" x="34"/>
        <item h="1" x="32"/>
        <item h="1" x="25"/>
        <item h="1" x="26"/>
        <item h="1" x="27"/>
        <item h="1" x="28"/>
        <item h="1" x="29"/>
        <item h="1" x="30"/>
        <item t="default"/>
      </items>
    </pivotField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4" showAll="0"/>
    <pivotField numFmtId="1" showAll="0"/>
  </pivotFields>
  <rowFields count="1">
    <field x="1"/>
  </rowFields>
  <rowItems count="1">
    <i>
      <x v="19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Serv. Culturales Derecho Hab Publ" fld="2" baseField="0" baseItem="0" numFmtId="1"/>
    <dataField name="Suma de Serv. Deportivos Derecho Hab Publ" fld="3" baseField="0" baseItem="0" numFmtId="1"/>
    <dataField name="Suma de Serv. Sociales Derecho Hab Publ" fld="4" baseField="0" baseItem="0" numFmtId="1"/>
    <dataField name="Suma de Serv. Funerarios Derecho Hab Publ" fld="5" baseField="0" baseItem="0" numFmtId="1"/>
    <dataField name="Suma de Serv. Sociales Pensionados Jubl" fld="6" baseField="0" baseItem="0" numFmtId="1"/>
    <dataField name="Suma de Fome Deportivo Pensionados Jubl" fld="7" baseField="0" baseItem="0" numFmtId="1"/>
    <dataField name="Suma de Serv. Culturales Pensionados Jubl" fld="8" baseField="0" baseItem="0" numFmtId="1"/>
    <dataField name="Suma de Soci Comedores Pensionados Jubl" fld="9" baseField="0" baseItem="0" numFmtId="1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41A6-56C0-4FFA-911D-41686AFDD066}" name="RankingDeDelegacion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Nombre Oficina Representación">
  <location ref="A9:B20" firstHeaderRow="1" firstDataRow="1" firstDataCol="1"/>
  <pivotFields count="12">
    <pivotField numFmtId="1" showAll="0"/>
    <pivotField axis="axisRow" showAll="0" measureFilter="1" sortType="ascending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multipleItemSelectionAllowed="1" showAll="0">
      <items count="442">
        <item x="36"/>
        <item x="354"/>
        <item x="352"/>
        <item x="320"/>
        <item x="289"/>
        <item x="421"/>
        <item x="306"/>
        <item x="290"/>
        <item x="432"/>
        <item x="377"/>
        <item x="311"/>
        <item x="393"/>
        <item x="433"/>
        <item x="440"/>
        <item x="429"/>
        <item x="291"/>
        <item x="430"/>
        <item x="309"/>
        <item x="330"/>
        <item x="323"/>
        <item x="287"/>
        <item x="343"/>
        <item x="420"/>
        <item x="303"/>
        <item x="436"/>
        <item x="376"/>
        <item x="418"/>
        <item x="407"/>
        <item x="344"/>
        <item x="388"/>
        <item x="355"/>
        <item x="390"/>
        <item x="349"/>
        <item x="373"/>
        <item x="426"/>
        <item x="288"/>
        <item x="340"/>
        <item x="434"/>
        <item x="374"/>
        <item x="414"/>
        <item x="395"/>
        <item x="417"/>
        <item x="315"/>
        <item x="378"/>
        <item x="431"/>
        <item x="396"/>
        <item x="422"/>
        <item x="292"/>
        <item x="356"/>
        <item x="274"/>
        <item x="435"/>
        <item x="428"/>
        <item x="305"/>
        <item x="307"/>
        <item x="310"/>
        <item x="294"/>
        <item x="413"/>
        <item x="439"/>
        <item x="363"/>
        <item x="419"/>
        <item x="297"/>
        <item x="308"/>
        <item x="427"/>
        <item x="341"/>
        <item x="284"/>
        <item x="329"/>
        <item x="369"/>
        <item x="319"/>
        <item x="338"/>
        <item x="335"/>
        <item x="316"/>
        <item x="424"/>
        <item x="326"/>
        <item x="357"/>
        <item x="358"/>
        <item x="425"/>
        <item x="389"/>
        <item x="339"/>
        <item x="403"/>
        <item x="380"/>
        <item x="322"/>
        <item x="416"/>
        <item x="298"/>
        <item x="314"/>
        <item x="415"/>
        <item x="371"/>
        <item x="411"/>
        <item x="401"/>
        <item x="365"/>
        <item x="336"/>
        <item x="299"/>
        <item x="293"/>
        <item x="254"/>
        <item x="405"/>
        <item x="386"/>
        <item x="409"/>
        <item x="423"/>
        <item x="304"/>
        <item x="324"/>
        <item x="295"/>
        <item x="406"/>
        <item x="398"/>
        <item x="392"/>
        <item x="372"/>
        <item x="332"/>
        <item x="360"/>
        <item x="260"/>
        <item x="325"/>
        <item x="379"/>
        <item x="383"/>
        <item x="302"/>
        <item x="342"/>
        <item x="410"/>
        <item x="402"/>
        <item x="296"/>
        <item x="394"/>
        <item x="345"/>
        <item x="331"/>
        <item x="348"/>
        <item x="382"/>
        <item x="361"/>
        <item x="347"/>
        <item x="313"/>
        <item x="364"/>
        <item x="368"/>
        <item x="359"/>
        <item x="337"/>
        <item x="375"/>
        <item x="391"/>
        <item x="327"/>
        <item x="346"/>
        <item x="381"/>
        <item x="334"/>
        <item x="367"/>
        <item x="301"/>
        <item x="397"/>
        <item x="404"/>
        <item x="312"/>
        <item x="385"/>
        <item x="370"/>
        <item x="276"/>
        <item x="438"/>
        <item x="400"/>
        <item x="353"/>
        <item x="408"/>
        <item x="300"/>
        <item x="387"/>
        <item x="351"/>
        <item x="333"/>
        <item x="366"/>
        <item x="271"/>
        <item x="437"/>
        <item x="275"/>
        <item x="318"/>
        <item x="321"/>
        <item x="263"/>
        <item x="328"/>
        <item x="399"/>
        <item x="317"/>
        <item x="362"/>
        <item x="253"/>
        <item x="272"/>
        <item x="218"/>
        <item x="252"/>
        <item x="412"/>
        <item x="350"/>
        <item x="384"/>
        <item x="261"/>
        <item x="277"/>
        <item x="268"/>
        <item x="267"/>
        <item x="270"/>
        <item x="279"/>
        <item x="259"/>
        <item x="266"/>
        <item x="129"/>
        <item x="258"/>
        <item x="273"/>
        <item x="278"/>
        <item x="216"/>
        <item x="110"/>
        <item x="280"/>
        <item x="283"/>
        <item x="58"/>
        <item x="257"/>
        <item x="19"/>
        <item x="281"/>
        <item x="26"/>
        <item x="256"/>
        <item x="182"/>
        <item x="94"/>
        <item x="265"/>
        <item x="282"/>
        <item x="134"/>
        <item x="180"/>
        <item x="285"/>
        <item x="146"/>
        <item x="264"/>
        <item x="43"/>
        <item x="14"/>
        <item x="237"/>
        <item x="201"/>
        <item x="141"/>
        <item x="63"/>
        <item x="108"/>
        <item x="170"/>
        <item x="2"/>
        <item x="217"/>
        <item x="206"/>
        <item x="255"/>
        <item x="118"/>
        <item x="242"/>
        <item x="249"/>
        <item x="144"/>
        <item x="75"/>
        <item x="122"/>
        <item x="262"/>
        <item x="37"/>
        <item x="39"/>
        <item x="269"/>
        <item x="60"/>
        <item x="82"/>
        <item x="20"/>
        <item x="236"/>
        <item x="177"/>
        <item x="243"/>
        <item x="165"/>
        <item x="79"/>
        <item x="189"/>
        <item x="190"/>
        <item x="154"/>
        <item x="0"/>
        <item x="213"/>
        <item x="93"/>
        <item x="117"/>
        <item x="7"/>
        <item x="83"/>
        <item x="73"/>
        <item x="128"/>
        <item x="28"/>
        <item x="57"/>
        <item x="10"/>
        <item x="226"/>
        <item x="114"/>
        <item x="47"/>
        <item x="12"/>
        <item x="25"/>
        <item x="153"/>
        <item x="131"/>
        <item x="160"/>
        <item x="96"/>
        <item x="113"/>
        <item x="85"/>
        <item x="41"/>
        <item x="112"/>
        <item x="49"/>
        <item x="23"/>
        <item x="194"/>
        <item x="196"/>
        <item x="136"/>
        <item x="164"/>
        <item x="56"/>
        <item x="187"/>
        <item x="124"/>
        <item x="116"/>
        <item x="244"/>
        <item x="46"/>
        <item x="115"/>
        <item x="219"/>
        <item x="200"/>
        <item x="225"/>
        <item x="62"/>
        <item x="183"/>
        <item x="65"/>
        <item x="186"/>
        <item x="133"/>
        <item x="77"/>
        <item x="100"/>
        <item x="21"/>
        <item x="109"/>
        <item x="97"/>
        <item x="208"/>
        <item x="45"/>
        <item x="127"/>
        <item x="1"/>
        <item x="98"/>
        <item x="245"/>
        <item x="24"/>
        <item x="4"/>
        <item x="239"/>
        <item x="111"/>
        <item x="212"/>
        <item x="181"/>
        <item x="87"/>
        <item x="158"/>
        <item x="167"/>
        <item x="185"/>
        <item x="203"/>
        <item x="105"/>
        <item x="149"/>
        <item x="61"/>
        <item x="222"/>
        <item x="145"/>
        <item x="223"/>
        <item x="78"/>
        <item x="221"/>
        <item x="240"/>
        <item x="172"/>
        <item x="232"/>
        <item x="76"/>
        <item x="92"/>
        <item x="148"/>
        <item x="132"/>
        <item x="5"/>
        <item x="147"/>
        <item x="80"/>
        <item x="42"/>
        <item x="32"/>
        <item x="151"/>
        <item x="184"/>
        <item x="231"/>
        <item x="150"/>
        <item x="38"/>
        <item x="220"/>
        <item x="159"/>
        <item x="119"/>
        <item x="13"/>
        <item x="199"/>
        <item x="163"/>
        <item x="81"/>
        <item x="74"/>
        <item x="139"/>
        <item x="235"/>
        <item x="195"/>
        <item x="3"/>
        <item x="176"/>
        <item x="135"/>
        <item x="89"/>
        <item x="228"/>
        <item x="40"/>
        <item x="125"/>
        <item x="69"/>
        <item x="8"/>
        <item x="16"/>
        <item x="152"/>
        <item x="123"/>
        <item x="138"/>
        <item x="53"/>
        <item x="103"/>
        <item x="70"/>
        <item x="241"/>
        <item x="137"/>
        <item x="44"/>
        <item x="6"/>
        <item x="209"/>
        <item x="171"/>
        <item x="233"/>
        <item x="188"/>
        <item x="207"/>
        <item x="197"/>
        <item x="9"/>
        <item x="168"/>
        <item x="224"/>
        <item x="68"/>
        <item x="169"/>
        <item x="142"/>
        <item x="204"/>
        <item x="120"/>
        <item x="54"/>
        <item x="84"/>
        <item x="192"/>
        <item x="173"/>
        <item x="161"/>
        <item x="64"/>
        <item x="156"/>
        <item x="31"/>
        <item x="11"/>
        <item x="99"/>
        <item x="106"/>
        <item x="90"/>
        <item x="29"/>
        <item x="33"/>
        <item x="30"/>
        <item x="205"/>
        <item x="51"/>
        <item x="34"/>
        <item x="88"/>
        <item x="48"/>
        <item x="248"/>
        <item x="102"/>
        <item x="67"/>
        <item x="174"/>
        <item x="155"/>
        <item x="210"/>
        <item x="246"/>
        <item x="247"/>
        <item x="52"/>
        <item x="227"/>
        <item x="27"/>
        <item x="211"/>
        <item x="17"/>
        <item x="66"/>
        <item x="101"/>
        <item x="191"/>
        <item x="250"/>
        <item x="214"/>
        <item x="15"/>
        <item x="140"/>
        <item x="175"/>
        <item x="286"/>
        <item x="178"/>
        <item x="71"/>
        <item x="230"/>
        <item x="130"/>
        <item x="22"/>
        <item x="121"/>
        <item x="166"/>
        <item x="104"/>
        <item x="202"/>
        <item x="126"/>
        <item x="238"/>
        <item x="229"/>
        <item x="59"/>
        <item x="95"/>
        <item x="157"/>
        <item x="193"/>
        <item x="86"/>
        <item x="50"/>
        <item x="18"/>
        <item x="198"/>
        <item x="234"/>
        <item x="162"/>
        <item x="55"/>
        <item x="91"/>
        <item x="143"/>
        <item x="251"/>
        <item x="179"/>
        <item x="215"/>
        <item x="107"/>
        <item x="72"/>
        <item x="35"/>
        <item t="default"/>
      </items>
    </pivotField>
    <pivotField numFmtId="1" showAll="0">
      <items count="411">
        <item x="35"/>
        <item x="400"/>
        <item x="248"/>
        <item x="337"/>
        <item x="303"/>
        <item x="380"/>
        <item x="335"/>
        <item x="370"/>
        <item x="313"/>
        <item x="409"/>
        <item x="369"/>
        <item x="388"/>
        <item x="401"/>
        <item x="403"/>
        <item x="262"/>
        <item x="383"/>
        <item x="381"/>
        <item x="384"/>
        <item x="274"/>
        <item x="396"/>
        <item x="249"/>
        <item x="398"/>
        <item x="402"/>
        <item x="281"/>
        <item x="322"/>
        <item x="387"/>
        <item x="263"/>
        <item x="394"/>
        <item x="253"/>
        <item x="397"/>
        <item x="393"/>
        <item x="247"/>
        <item x="272"/>
        <item x="266"/>
        <item x="408"/>
        <item x="399"/>
        <item x="298"/>
        <item x="404"/>
        <item x="331"/>
        <item x="289"/>
        <item x="280"/>
        <item x="389"/>
        <item x="371"/>
        <item x="338"/>
        <item x="366"/>
        <item x="377"/>
        <item x="257"/>
        <item x="255"/>
        <item x="265"/>
        <item x="264"/>
        <item x="395"/>
        <item x="252"/>
        <item x="385"/>
        <item x="332"/>
        <item x="352"/>
        <item x="299"/>
        <item x="296"/>
        <item x="317"/>
        <item x="328"/>
        <item x="329"/>
        <item x="327"/>
        <item x="291"/>
        <item x="268"/>
        <item x="362"/>
        <item x="364"/>
        <item x="302"/>
        <item x="363"/>
        <item x="390"/>
        <item x="246"/>
        <item x="259"/>
        <item x="294"/>
        <item x="350"/>
        <item x="353"/>
        <item x="285"/>
        <item x="318"/>
        <item x="382"/>
        <item x="379"/>
        <item x="355"/>
        <item x="271"/>
        <item x="386"/>
        <item x="336"/>
        <item x="324"/>
        <item x="269"/>
        <item x="273"/>
        <item x="267"/>
        <item x="297"/>
        <item x="256"/>
        <item x="392"/>
        <item x="321"/>
        <item x="270"/>
        <item x="250"/>
        <item x="339"/>
        <item x="407"/>
        <item x="356"/>
        <item x="254"/>
        <item x="295"/>
        <item x="349"/>
        <item x="358"/>
        <item x="306"/>
        <item x="319"/>
        <item x="300"/>
        <item x="290"/>
        <item x="323"/>
        <item x="286"/>
        <item x="315"/>
        <item x="330"/>
        <item x="304"/>
        <item x="367"/>
        <item x="261"/>
        <item x="365"/>
        <item x="283"/>
        <item x="277"/>
        <item x="406"/>
        <item x="333"/>
        <item x="288"/>
        <item x="354"/>
        <item x="372"/>
        <item x="357"/>
        <item x="312"/>
        <item x="282"/>
        <item x="341"/>
        <item x="301"/>
        <item x="391"/>
        <item x="258"/>
        <item x="278"/>
        <item x="279"/>
        <item x="340"/>
        <item x="309"/>
        <item x="373"/>
        <item x="405"/>
        <item x="287"/>
        <item x="344"/>
        <item x="348"/>
        <item x="314"/>
        <item x="351"/>
        <item x="293"/>
        <item x="334"/>
        <item x="320"/>
        <item x="378"/>
        <item x="305"/>
        <item x="368"/>
        <item x="359"/>
        <item x="311"/>
        <item x="376"/>
        <item x="292"/>
        <item x="260"/>
        <item x="275"/>
        <item x="326"/>
        <item x="251"/>
        <item x="345"/>
        <item x="361"/>
        <item x="276"/>
        <item x="235"/>
        <item x="360"/>
        <item x="325"/>
        <item x="234"/>
        <item x="374"/>
        <item x="343"/>
        <item x="307"/>
        <item x="231"/>
        <item x="316"/>
        <item x="375"/>
        <item x="284"/>
        <item x="217"/>
        <item x="308"/>
        <item x="342"/>
        <item x="212"/>
        <item x="346"/>
        <item x="236"/>
        <item x="310"/>
        <item x="226"/>
        <item x="229"/>
        <item x="220"/>
        <item x="221"/>
        <item x="211"/>
        <item x="238"/>
        <item x="237"/>
        <item x="225"/>
        <item x="232"/>
        <item x="219"/>
        <item x="218"/>
        <item x="23"/>
        <item x="239"/>
        <item x="240"/>
        <item x="177"/>
        <item x="230"/>
        <item x="228"/>
        <item x="24"/>
        <item x="121"/>
        <item x="42"/>
        <item x="95"/>
        <item x="222"/>
        <item x="86"/>
        <item x="59"/>
        <item x="129"/>
        <item x="199"/>
        <item x="164"/>
        <item x="15"/>
        <item x="200"/>
        <item x="94"/>
        <item x="51"/>
        <item x="201"/>
        <item x="60"/>
        <item x="155"/>
        <item x="156"/>
        <item x="18"/>
        <item x="165"/>
        <item x="182"/>
        <item x="215"/>
        <item x="147"/>
        <item x="141"/>
        <item x="191"/>
        <item x="77"/>
        <item x="13"/>
        <item x="176"/>
        <item x="146"/>
        <item x="6"/>
        <item x="130"/>
        <item x="241"/>
        <item x="71"/>
        <item x="36"/>
        <item x="216"/>
        <item x="27"/>
        <item x="133"/>
        <item x="203"/>
        <item x="245"/>
        <item x="63"/>
        <item x="112"/>
        <item x="168"/>
        <item x="98"/>
        <item x="224"/>
        <item x="167"/>
        <item x="244"/>
        <item x="202"/>
        <item x="227"/>
        <item x="92"/>
        <item x="132"/>
        <item x="166"/>
        <item x="0"/>
        <item x="2"/>
        <item x="62"/>
        <item x="54"/>
        <item x="106"/>
        <item x="14"/>
        <item x="242"/>
        <item x="223"/>
        <item x="85"/>
        <item x="213"/>
        <item x="120"/>
        <item x="26"/>
        <item x="97"/>
        <item x="111"/>
        <item x="116"/>
        <item x="189"/>
        <item x="154"/>
        <item x="73"/>
        <item x="89"/>
        <item x="188"/>
        <item x="131"/>
        <item x="119"/>
        <item x="49"/>
        <item x="17"/>
        <item x="81"/>
        <item x="84"/>
        <item x="190"/>
        <item x="38"/>
        <item x="158"/>
        <item x="123"/>
        <item x="124"/>
        <item x="194"/>
        <item x="88"/>
        <item x="53"/>
        <item x="1"/>
        <item x="214"/>
        <item x="143"/>
        <item x="50"/>
        <item x="153"/>
        <item x="12"/>
        <item x="41"/>
        <item x="151"/>
        <item x="76"/>
        <item x="5"/>
        <item x="118"/>
        <item x="233"/>
        <item x="126"/>
        <item x="108"/>
        <item x="10"/>
        <item x="186"/>
        <item x="161"/>
        <item x="185"/>
        <item x="46"/>
        <item x="48"/>
        <item x="83"/>
        <item x="127"/>
        <item x="179"/>
        <item x="142"/>
        <item x="56"/>
        <item x="37"/>
        <item x="196"/>
        <item x="72"/>
        <item x="19"/>
        <item x="162"/>
        <item x="114"/>
        <item x="20"/>
        <item x="197"/>
        <item x="243"/>
        <item x="115"/>
        <item x="159"/>
        <item x="149"/>
        <item x="44"/>
        <item x="57"/>
        <item x="184"/>
        <item x="150"/>
        <item x="205"/>
        <item x="195"/>
        <item x="107"/>
        <item x="99"/>
        <item x="21"/>
        <item x="96"/>
        <item x="204"/>
        <item x="91"/>
        <item x="207"/>
        <item x="122"/>
        <item x="134"/>
        <item x="169"/>
        <item x="79"/>
        <item x="160"/>
        <item x="16"/>
        <item x="87"/>
        <item x="192"/>
        <item x="52"/>
        <item x="125"/>
        <item x="55"/>
        <item x="157"/>
        <item x="90"/>
        <item x="8"/>
        <item x="64"/>
        <item x="7"/>
        <item x="28"/>
        <item x="78"/>
        <item x="9"/>
        <item x="178"/>
        <item x="45"/>
        <item x="80"/>
        <item x="181"/>
        <item x="193"/>
        <item x="347"/>
        <item x="22"/>
        <item x="33"/>
        <item x="110"/>
        <item x="29"/>
        <item x="25"/>
        <item x="69"/>
        <item x="148"/>
        <item x="47"/>
        <item x="40"/>
        <item x="113"/>
        <item x="82"/>
        <item x="75"/>
        <item x="144"/>
        <item x="3"/>
        <item x="152"/>
        <item x="183"/>
        <item x="74"/>
        <item x="117"/>
        <item x="187"/>
        <item x="43"/>
        <item x="104"/>
        <item x="100"/>
        <item x="65"/>
        <item x="180"/>
        <item x="145"/>
        <item x="135"/>
        <item x="109"/>
        <item x="39"/>
        <item x="170"/>
        <item x="61"/>
        <item x="139"/>
        <item x="11"/>
        <item x="58"/>
        <item x="93"/>
        <item x="163"/>
        <item x="128"/>
        <item x="209"/>
        <item x="198"/>
        <item x="101"/>
        <item x="30"/>
        <item x="140"/>
        <item x="66"/>
        <item x="4"/>
        <item x="206"/>
        <item x="171"/>
        <item x="137"/>
        <item x="174"/>
        <item x="136"/>
        <item x="70"/>
        <item x="34"/>
        <item x="102"/>
        <item x="175"/>
        <item x="68"/>
        <item x="105"/>
        <item x="103"/>
        <item x="172"/>
        <item x="210"/>
        <item x="173"/>
        <item x="67"/>
        <item x="31"/>
        <item x="32"/>
        <item x="138"/>
        <item x="208"/>
        <item t="default"/>
      </items>
    </pivotField>
    <pivotField numFmtId="1" showAll="0"/>
    <pivotField numFmtId="1" showAll="0"/>
    <pivotField numFmtId="1" showAll="0"/>
    <pivotField numFmtId="1" multipleItemSelectionAllowed="1" showAll="0">
      <items count="414">
        <item x="35"/>
        <item x="299"/>
        <item x="354"/>
        <item x="333"/>
        <item x="364"/>
        <item x="324"/>
        <item x="390"/>
        <item x="395"/>
        <item x="329"/>
        <item x="404"/>
        <item x="322"/>
        <item x="270"/>
        <item x="408"/>
        <item x="399"/>
        <item x="397"/>
        <item x="258"/>
        <item x="278"/>
        <item x="271"/>
        <item x="358"/>
        <item x="396"/>
        <item x="392"/>
        <item x="295"/>
        <item x="394"/>
        <item x="372"/>
        <item x="410"/>
        <item x="400"/>
        <item x="352"/>
        <item x="407"/>
        <item x="406"/>
        <item x="380"/>
        <item x="274"/>
        <item x="280"/>
        <item x="350"/>
        <item x="287"/>
        <item x="291"/>
        <item x="342"/>
        <item x="403"/>
        <item x="310"/>
        <item x="288"/>
        <item x="385"/>
        <item x="369"/>
        <item x="378"/>
        <item x="405"/>
        <item x="284"/>
        <item x="301"/>
        <item x="279"/>
        <item x="409"/>
        <item x="315"/>
        <item x="346"/>
        <item x="401"/>
        <item x="289"/>
        <item x="349"/>
        <item x="285"/>
        <item x="320"/>
        <item x="355"/>
        <item x="383"/>
        <item x="292"/>
        <item x="389"/>
        <item x="286"/>
        <item x="311"/>
        <item x="402"/>
        <item x="309"/>
        <item x="393"/>
        <item x="318"/>
        <item x="332"/>
        <item x="312"/>
        <item x="343"/>
        <item x="377"/>
        <item x="305"/>
        <item x="384"/>
        <item x="363"/>
        <item x="307"/>
        <item x="325"/>
        <item x="319"/>
        <item x="276"/>
        <item x="323"/>
        <item x="293"/>
        <item x="373"/>
        <item x="366"/>
        <item x="337"/>
        <item x="348"/>
        <item x="236"/>
        <item x="317"/>
        <item x="281"/>
        <item x="368"/>
        <item x="253"/>
        <item x="381"/>
        <item x="277"/>
        <item x="298"/>
        <item x="300"/>
        <item x="245"/>
        <item x="316"/>
        <item x="244"/>
        <item x="326"/>
        <item x="308"/>
        <item x="296"/>
        <item x="371"/>
        <item x="412"/>
        <item x="341"/>
        <item x="347"/>
        <item x="261"/>
        <item x="353"/>
        <item x="290"/>
        <item x="321"/>
        <item x="391"/>
        <item x="335"/>
        <item x="283"/>
        <item x="339"/>
        <item x="255"/>
        <item x="379"/>
        <item x="370"/>
        <item x="246"/>
        <item x="303"/>
        <item x="374"/>
        <item x="275"/>
        <item x="314"/>
        <item x="202"/>
        <item x="240"/>
        <item x="411"/>
        <item x="252"/>
        <item x="345"/>
        <item x="331"/>
        <item x="330"/>
        <item x="272"/>
        <item x="398"/>
        <item x="338"/>
        <item x="302"/>
        <item x="367"/>
        <item x="376"/>
        <item x="263"/>
        <item x="273"/>
        <item x="362"/>
        <item x="294"/>
        <item x="105"/>
        <item x="340"/>
        <item x="119"/>
        <item x="23"/>
        <item x="359"/>
        <item x="356"/>
        <item x="388"/>
        <item x="224"/>
        <item x="386"/>
        <item x="123"/>
        <item x="361"/>
        <item x="250"/>
        <item x="114"/>
        <item x="242"/>
        <item x="159"/>
        <item x="59"/>
        <item x="41"/>
        <item x="365"/>
        <item x="334"/>
        <item x="259"/>
        <item x="110"/>
        <item x="328"/>
        <item x="5"/>
        <item x="75"/>
        <item x="186"/>
        <item x="387"/>
        <item x="351"/>
        <item x="140"/>
        <item x="238"/>
        <item x="126"/>
        <item x="382"/>
        <item x="336"/>
        <item x="304"/>
        <item x="254"/>
        <item x="157"/>
        <item x="327"/>
        <item x="360"/>
        <item x="256"/>
        <item x="190"/>
        <item x="18"/>
        <item x="282"/>
        <item x="1"/>
        <item x="96"/>
        <item x="247"/>
        <item x="357"/>
        <item x="92"/>
        <item x="121"/>
        <item x="249"/>
        <item x="117"/>
        <item x="81"/>
        <item x="313"/>
        <item x="88"/>
        <item x="181"/>
        <item x="55"/>
        <item x="297"/>
        <item x="109"/>
        <item x="19"/>
        <item x="26"/>
        <item x="83"/>
        <item x="210"/>
        <item x="153"/>
        <item x="24"/>
        <item x="84"/>
        <item x="37"/>
        <item x="90"/>
        <item x="46"/>
        <item x="177"/>
        <item x="375"/>
        <item x="47"/>
        <item x="344"/>
        <item x="127"/>
        <item x="93"/>
        <item x="17"/>
        <item x="251"/>
        <item x="220"/>
        <item x="111"/>
        <item x="57"/>
        <item x="188"/>
        <item x="267"/>
        <item x="184"/>
        <item x="151"/>
        <item x="21"/>
        <item x="155"/>
        <item x="306"/>
        <item x="79"/>
        <item x="53"/>
        <item x="260"/>
        <item x="86"/>
        <item x="13"/>
        <item x="45"/>
        <item x="222"/>
        <item x="145"/>
        <item x="14"/>
        <item x="71"/>
        <item x="9"/>
        <item x="2"/>
        <item x="116"/>
        <item x="269"/>
        <item x="262"/>
        <item x="7"/>
        <item x="241"/>
        <item x="103"/>
        <item x="107"/>
        <item x="77"/>
        <item x="80"/>
        <item x="113"/>
        <item x="112"/>
        <item x="27"/>
        <item x="62"/>
        <item x="11"/>
        <item x="72"/>
        <item x="160"/>
        <item x="144"/>
        <item x="118"/>
        <item x="95"/>
        <item x="211"/>
        <item x="120"/>
        <item x="136"/>
        <item x="193"/>
        <item x="82"/>
        <item x="176"/>
        <item x="213"/>
        <item x="235"/>
        <item x="12"/>
        <item x="227"/>
        <item x="180"/>
        <item x="146"/>
        <item x="48"/>
        <item x="179"/>
        <item x="212"/>
        <item x="115"/>
        <item x="183"/>
        <item x="150"/>
        <item x="10"/>
        <item x="89"/>
        <item x="43"/>
        <item x="50"/>
        <item x="16"/>
        <item x="52"/>
        <item x="49"/>
        <item x="178"/>
        <item x="20"/>
        <item x="264"/>
        <item x="56"/>
        <item x="170"/>
        <item x="148"/>
        <item x="137"/>
        <item x="243"/>
        <item x="70"/>
        <item x="0"/>
        <item x="217"/>
        <item x="38"/>
        <item x="147"/>
        <item x="169"/>
        <item x="221"/>
        <item x="265"/>
        <item x="194"/>
        <item x="143"/>
        <item x="228"/>
        <item x="237"/>
        <item x="218"/>
        <item x="28"/>
        <item x="149"/>
        <item x="248"/>
        <item x="204"/>
        <item x="63"/>
        <item x="36"/>
        <item x="208"/>
        <item x="128"/>
        <item x="214"/>
        <item x="239"/>
        <item x="15"/>
        <item x="182"/>
        <item x="215"/>
        <item x="124"/>
        <item x="106"/>
        <item x="51"/>
        <item x="3"/>
        <item x="39"/>
        <item x="73"/>
        <item x="171"/>
        <item x="138"/>
        <item x="85"/>
        <item x="216"/>
        <item x="219"/>
        <item x="161"/>
        <item x="266"/>
        <item x="60"/>
        <item x="76"/>
        <item x="22"/>
        <item x="154"/>
        <item x="54"/>
        <item x="152"/>
        <item x="225"/>
        <item x="191"/>
        <item x="91"/>
        <item x="192"/>
        <item x="125"/>
        <item x="94"/>
        <item x="108"/>
        <item x="257"/>
        <item x="187"/>
        <item x="130"/>
        <item x="122"/>
        <item x="78"/>
        <item x="201"/>
        <item x="61"/>
        <item x="185"/>
        <item x="168"/>
        <item x="8"/>
        <item x="206"/>
        <item x="198"/>
        <item x="232"/>
        <item x="29"/>
        <item x="25"/>
        <item x="158"/>
        <item x="134"/>
        <item x="223"/>
        <item x="132"/>
        <item x="42"/>
        <item x="6"/>
        <item x="104"/>
        <item x="189"/>
        <item x="97"/>
        <item x="234"/>
        <item x="87"/>
        <item x="58"/>
        <item x="65"/>
        <item x="98"/>
        <item x="156"/>
        <item x="142"/>
        <item x="44"/>
        <item x="175"/>
        <item x="209"/>
        <item x="141"/>
        <item x="135"/>
        <item x="230"/>
        <item x="64"/>
        <item x="131"/>
        <item x="67"/>
        <item x="30"/>
        <item x="207"/>
        <item x="40"/>
        <item x="231"/>
        <item x="174"/>
        <item x="129"/>
        <item x="268"/>
        <item x="139"/>
        <item x="205"/>
        <item x="162"/>
        <item x="203"/>
        <item x="74"/>
        <item x="32"/>
        <item x="226"/>
        <item x="100"/>
        <item x="33"/>
        <item x="163"/>
        <item x="133"/>
        <item x="4"/>
        <item x="200"/>
        <item x="195"/>
        <item x="196"/>
        <item x="167"/>
        <item x="165"/>
        <item x="172"/>
        <item x="69"/>
        <item x="173"/>
        <item x="164"/>
        <item x="102"/>
        <item x="34"/>
        <item x="99"/>
        <item x="197"/>
        <item x="66"/>
        <item x="31"/>
        <item x="68"/>
        <item x="229"/>
        <item x="166"/>
        <item x="101"/>
        <item x="233"/>
        <item x="199"/>
        <item t="default"/>
      </items>
    </pivotField>
    <pivotField numFmtId="1" multipleItemSelectionAllowed="1" showAll="0">
      <items count="387">
        <item x="37"/>
        <item x="290"/>
        <item x="311"/>
        <item x="325"/>
        <item x="295"/>
        <item x="321"/>
        <item x="340"/>
        <item x="312"/>
        <item x="385"/>
        <item x="303"/>
        <item x="296"/>
        <item x="322"/>
        <item x="343"/>
        <item x="359"/>
        <item x="379"/>
        <item x="331"/>
        <item x="301"/>
        <item x="339"/>
        <item x="308"/>
        <item x="293"/>
        <item x="327"/>
        <item x="265"/>
        <item x="382"/>
        <item x="370"/>
        <item x="375"/>
        <item x="371"/>
        <item x="320"/>
        <item x="306"/>
        <item x="380"/>
        <item x="345"/>
        <item x="381"/>
        <item x="362"/>
        <item x="332"/>
        <item x="372"/>
        <item x="302"/>
        <item x="351"/>
        <item x="378"/>
        <item x="231"/>
        <item x="377"/>
        <item x="344"/>
        <item x="313"/>
        <item x="367"/>
        <item x="298"/>
        <item x="324"/>
        <item x="323"/>
        <item x="316"/>
        <item x="349"/>
        <item x="294"/>
        <item x="338"/>
        <item x="347"/>
        <item x="96"/>
        <item x="328"/>
        <item x="299"/>
        <item x="318"/>
        <item x="373"/>
        <item x="300"/>
        <item x="376"/>
        <item x="279"/>
        <item x="304"/>
        <item x="363"/>
        <item x="348"/>
        <item x="353"/>
        <item x="267"/>
        <item x="383"/>
        <item x="271"/>
        <item x="317"/>
        <item x="341"/>
        <item x="365"/>
        <item x="374"/>
        <item x="278"/>
        <item x="355"/>
        <item x="297"/>
        <item x="335"/>
        <item x="361"/>
        <item x="310"/>
        <item x="364"/>
        <item x="356"/>
        <item x="288"/>
        <item x="366"/>
        <item x="283"/>
        <item x="307"/>
        <item x="59"/>
        <item x="132"/>
        <item x="329"/>
        <item x="58"/>
        <item x="384"/>
        <item x="259"/>
        <item x="314"/>
        <item x="368"/>
        <item x="291"/>
        <item x="336"/>
        <item x="330"/>
        <item x="309"/>
        <item x="319"/>
        <item x="342"/>
        <item x="270"/>
        <item x="333"/>
        <item x="369"/>
        <item x="350"/>
        <item x="281"/>
        <item x="286"/>
        <item x="272"/>
        <item x="358"/>
        <item x="352"/>
        <item x="258"/>
        <item x="269"/>
        <item x="305"/>
        <item x="354"/>
        <item x="326"/>
        <item x="315"/>
        <item x="346"/>
        <item x="292"/>
        <item x="334"/>
        <item x="337"/>
        <item x="357"/>
        <item x="44"/>
        <item x="157"/>
        <item x="175"/>
        <item x="241"/>
        <item x="139"/>
        <item x="282"/>
        <item x="280"/>
        <item x="360"/>
        <item x="137"/>
        <item x="285"/>
        <item x="275"/>
        <item x="264"/>
        <item x="66"/>
        <item x="26"/>
        <item x="40"/>
        <item x="212"/>
        <item x="284"/>
        <item x="85"/>
        <item x="276"/>
        <item x="210"/>
        <item x="28"/>
        <item x="274"/>
        <item x="262"/>
        <item x="6"/>
        <item x="249"/>
        <item x="261"/>
        <item x="287"/>
        <item x="257"/>
        <item x="121"/>
        <item x="223"/>
        <item x="173"/>
        <item x="38"/>
        <item x="263"/>
        <item x="64"/>
        <item x="194"/>
        <item x="247"/>
        <item x="260"/>
        <item x="113"/>
        <item x="125"/>
        <item x="200"/>
        <item x="266"/>
        <item x="191"/>
        <item x="277"/>
        <item x="103"/>
        <item x="168"/>
        <item x="61"/>
        <item x="268"/>
        <item x="77"/>
        <item x="289"/>
        <item x="13"/>
        <item x="101"/>
        <item x="81"/>
        <item x="149"/>
        <item x="62"/>
        <item x="252"/>
        <item x="163"/>
        <item x="99"/>
        <item x="222"/>
        <item x="205"/>
        <item x="186"/>
        <item x="245"/>
        <item x="48"/>
        <item x="91"/>
        <item x="2"/>
        <item x="63"/>
        <item x="16"/>
        <item x="54"/>
        <item x="8"/>
        <item x="45"/>
        <item x="221"/>
        <item x="47"/>
        <item x="24"/>
        <item x="236"/>
        <item x="184"/>
        <item x="235"/>
        <item x="10"/>
        <item x="201"/>
        <item x="127"/>
        <item x="111"/>
        <item x="147"/>
        <item x="14"/>
        <item x="11"/>
        <item x="108"/>
        <item x="46"/>
        <item x="238"/>
        <item x="25"/>
        <item x="100"/>
        <item x="134"/>
        <item x="199"/>
        <item x="115"/>
        <item x="122"/>
        <item x="162"/>
        <item x="151"/>
        <item x="42"/>
        <item x="112"/>
        <item x="233"/>
        <item x="237"/>
        <item x="188"/>
        <item x="15"/>
        <item x="248"/>
        <item x="120"/>
        <item x="98"/>
        <item x="130"/>
        <item x="116"/>
        <item x="133"/>
        <item x="171"/>
        <item x="12"/>
        <item x="75"/>
        <item x="53"/>
        <item x="228"/>
        <item x="128"/>
        <item x="87"/>
        <item x="33"/>
        <item x="69"/>
        <item x="229"/>
        <item x="196"/>
        <item x="114"/>
        <item x="84"/>
        <item x="82"/>
        <item x="211"/>
        <item x="49"/>
        <item x="90"/>
        <item x="230"/>
        <item x="138"/>
        <item x="9"/>
        <item x="225"/>
        <item x="7"/>
        <item x="195"/>
        <item x="164"/>
        <item x="39"/>
        <item x="155"/>
        <item x="208"/>
        <item x="50"/>
        <item x="242"/>
        <item x="118"/>
        <item x="159"/>
        <item x="144"/>
        <item x="21"/>
        <item x="123"/>
        <item x="224"/>
        <item x="174"/>
        <item x="106"/>
        <item x="207"/>
        <item x="170"/>
        <item x="244"/>
        <item x="232"/>
        <item x="95"/>
        <item x="198"/>
        <item x="141"/>
        <item x="51"/>
        <item x="158"/>
        <item x="135"/>
        <item x="22"/>
        <item x="219"/>
        <item x="148"/>
        <item x="143"/>
        <item x="31"/>
        <item x="142"/>
        <item x="5"/>
        <item x="83"/>
        <item x="78"/>
        <item x="152"/>
        <item x="169"/>
        <item x="60"/>
        <item x="117"/>
        <item x="254"/>
        <item x="177"/>
        <item x="220"/>
        <item x="86"/>
        <item x="124"/>
        <item x="97"/>
        <item x="183"/>
        <item x="68"/>
        <item x="161"/>
        <item x="185"/>
        <item x="119"/>
        <item x="3"/>
        <item x="79"/>
        <item x="1"/>
        <item x="41"/>
        <item x="30"/>
        <item x="215"/>
        <item x="178"/>
        <item x="88"/>
        <item x="251"/>
        <item x="197"/>
        <item x="80"/>
        <item x="214"/>
        <item x="192"/>
        <item x="19"/>
        <item x="203"/>
        <item x="187"/>
        <item x="107"/>
        <item x="226"/>
        <item x="4"/>
        <item x="176"/>
        <item x="153"/>
        <item x="17"/>
        <item x="0"/>
        <item x="250"/>
        <item x="160"/>
        <item x="92"/>
        <item x="154"/>
        <item x="57"/>
        <item x="43"/>
        <item x="246"/>
        <item x="166"/>
        <item x="70"/>
        <item x="76"/>
        <item x="131"/>
        <item x="234"/>
        <item x="55"/>
        <item x="253"/>
        <item x="204"/>
        <item x="20"/>
        <item x="240"/>
        <item x="182"/>
        <item x="136"/>
        <item x="190"/>
        <item x="179"/>
        <item x="273"/>
        <item x="189"/>
        <item x="36"/>
        <item x="213"/>
        <item x="126"/>
        <item x="23"/>
        <item x="243"/>
        <item x="180"/>
        <item x="73"/>
        <item x="105"/>
        <item x="206"/>
        <item x="74"/>
        <item x="71"/>
        <item x="67"/>
        <item x="227"/>
        <item x="150"/>
        <item x="102"/>
        <item x="94"/>
        <item x="193"/>
        <item x="140"/>
        <item x="167"/>
        <item x="216"/>
        <item x="65"/>
        <item x="255"/>
        <item x="217"/>
        <item x="256"/>
        <item x="72"/>
        <item x="145"/>
        <item x="27"/>
        <item x="209"/>
        <item x="146"/>
        <item x="172"/>
        <item x="104"/>
        <item x="181"/>
        <item x="29"/>
        <item x="18"/>
        <item x="32"/>
        <item x="218"/>
        <item x="93"/>
        <item x="156"/>
        <item x="109"/>
        <item x="56"/>
        <item x="110"/>
        <item x="34"/>
        <item x="89"/>
        <item x="52"/>
        <item x="129"/>
        <item x="202"/>
        <item x="165"/>
        <item x="239"/>
        <item x="35"/>
        <item t="default"/>
      </items>
    </pivotField>
    <pivotField numFmtId="1" showAll="0"/>
    <pivotField numFmtId="14" showAll="0"/>
    <pivotField dataField="1" numFmtId="1" multipleItemSelectionAllowed="1" showAll="0">
      <items count="490">
        <item x="302"/>
        <item x="329"/>
        <item x="306"/>
        <item x="455"/>
        <item x="478"/>
        <item x="487"/>
        <item x="366"/>
        <item x="404"/>
        <item x="442"/>
        <item x="364"/>
        <item x="463"/>
        <item x="479"/>
        <item x="476"/>
        <item x="458"/>
        <item x="389"/>
        <item x="456"/>
        <item x="402"/>
        <item x="351"/>
        <item x="462"/>
        <item x="466"/>
        <item x="304"/>
        <item x="474"/>
        <item x="459"/>
        <item x="380"/>
        <item x="305"/>
        <item x="470"/>
        <item x="481"/>
        <item x="315"/>
        <item x="475"/>
        <item x="464"/>
        <item x="480"/>
        <item x="471"/>
        <item x="324"/>
        <item x="477"/>
        <item x="482"/>
        <item x="341"/>
        <item x="440"/>
        <item x="322"/>
        <item x="472"/>
        <item x="443"/>
        <item x="423"/>
        <item x="320"/>
        <item x="437"/>
        <item x="342"/>
        <item x="465"/>
        <item x="338"/>
        <item x="426"/>
        <item x="461"/>
        <item x="473"/>
        <item x="454"/>
        <item x="399"/>
        <item x="360"/>
        <item x="398"/>
        <item x="405"/>
        <item x="310"/>
        <item x="417"/>
        <item x="418"/>
        <item x="436"/>
        <item x="326"/>
        <item x="361"/>
        <item x="485"/>
        <item x="379"/>
        <item x="323"/>
        <item x="358"/>
        <item x="312"/>
        <item x="325"/>
        <item x="432"/>
        <item x="356"/>
        <item x="469"/>
        <item x="460"/>
        <item x="314"/>
        <item x="486"/>
        <item x="353"/>
        <item x="391"/>
        <item x="362"/>
        <item x="394"/>
        <item x="346"/>
        <item x="457"/>
        <item x="328"/>
        <item x="400"/>
        <item x="348"/>
        <item x="451"/>
        <item x="359"/>
        <item x="331"/>
        <item x="333"/>
        <item x="438"/>
        <item x="428"/>
        <item x="425"/>
        <item x="384"/>
        <item x="395"/>
        <item x="396"/>
        <item x="313"/>
        <item x="420"/>
        <item x="367"/>
        <item x="433"/>
        <item x="467"/>
        <item x="386"/>
        <item x="365"/>
        <item x="441"/>
        <item x="403"/>
        <item x="397"/>
        <item x="330"/>
        <item x="321"/>
        <item x="424"/>
        <item x="468"/>
        <item x="327"/>
        <item x="388"/>
        <item x="452"/>
        <item x="434"/>
        <item x="357"/>
        <item x="435"/>
        <item x="316"/>
        <item x="307"/>
        <item x="343"/>
        <item x="408"/>
        <item x="311"/>
        <item x="334"/>
        <item x="340"/>
        <item x="350"/>
        <item x="421"/>
        <item x="332"/>
        <item x="385"/>
        <item x="289"/>
        <item x="406"/>
        <item x="319"/>
        <item x="446"/>
        <item x="422"/>
        <item x="355"/>
        <item x="416"/>
        <item x="450"/>
        <item x="444"/>
        <item x="378"/>
        <item x="308"/>
        <item x="382"/>
        <item x="413"/>
        <item x="344"/>
        <item x="374"/>
        <item x="390"/>
        <item x="309"/>
        <item x="337"/>
        <item x="393"/>
        <item x="352"/>
        <item x="381"/>
        <item x="483"/>
        <item x="370"/>
        <item x="419"/>
        <item x="431"/>
        <item x="427"/>
        <item x="484"/>
        <item x="290"/>
        <item x="449"/>
        <item x="318"/>
        <item x="375"/>
        <item x="317"/>
        <item x="411"/>
        <item x="369"/>
        <item x="368"/>
        <item x="445"/>
        <item x="363"/>
        <item x="412"/>
        <item x="286"/>
        <item x="336"/>
        <item x="383"/>
        <item x="354"/>
        <item x="430"/>
        <item x="401"/>
        <item x="407"/>
        <item x="392"/>
        <item x="371"/>
        <item x="347"/>
        <item x="439"/>
        <item x="275"/>
        <item x="267"/>
        <item x="291"/>
        <item x="429"/>
        <item x="387"/>
        <item x="276"/>
        <item x="335"/>
        <item x="135"/>
        <item x="345"/>
        <item x="410"/>
        <item x="372"/>
        <item x="448"/>
        <item x="409"/>
        <item x="373"/>
        <item x="447"/>
        <item x="303"/>
        <item x="292"/>
        <item x="266"/>
        <item x="287"/>
        <item x="281"/>
        <item x="349"/>
        <item x="116"/>
        <item x="339"/>
        <item x="294"/>
        <item x="272"/>
        <item x="140"/>
        <item x="283"/>
        <item x="293"/>
        <item x="273"/>
        <item x="274"/>
        <item x="271"/>
        <item x="280"/>
        <item x="376"/>
        <item x="285"/>
        <item x="295"/>
        <item x="124"/>
        <item x="114"/>
        <item x="278"/>
        <item x="268"/>
        <item x="128"/>
        <item x="282"/>
        <item x="229"/>
        <item x="270"/>
        <item x="299"/>
        <item x="296"/>
        <item x="97"/>
        <item x="488"/>
        <item x="26"/>
        <item x="277"/>
        <item x="44"/>
        <item x="150"/>
        <item x="228"/>
        <item x="300"/>
        <item x="284"/>
        <item x="64"/>
        <item x="190"/>
        <item x="216"/>
        <item x="147"/>
        <item x="61"/>
        <item x="178"/>
        <item x="297"/>
        <item x="414"/>
        <item x="123"/>
        <item x="137"/>
        <item x="254"/>
        <item x="192"/>
        <item x="142"/>
        <item x="226"/>
        <item x="279"/>
        <item x="453"/>
        <item x="2"/>
        <item x="119"/>
        <item x="59"/>
        <item x="120"/>
        <item x="134"/>
        <item x="288"/>
        <item x="38"/>
        <item x="377"/>
        <item x="154"/>
        <item x="130"/>
        <item x="188"/>
        <item x="78"/>
        <item x="269"/>
        <item x="102"/>
        <item x="14"/>
        <item x="298"/>
        <item x="112"/>
        <item x="82"/>
        <item x="40"/>
        <item x="115"/>
        <item x="255"/>
        <item x="151"/>
        <item x="19"/>
        <item x="76"/>
        <item x="133"/>
        <item x="162"/>
        <item x="264"/>
        <item x="152"/>
        <item x="122"/>
        <item x="99"/>
        <item x="36"/>
        <item x="121"/>
        <item x="86"/>
        <item x="23"/>
        <item x="173"/>
        <item x="200"/>
        <item x="211"/>
        <item x="117"/>
        <item x="100"/>
        <item x="248"/>
        <item x="204"/>
        <item x="230"/>
        <item x="37"/>
        <item x="238"/>
        <item x="24"/>
        <item x="74"/>
        <item x="0"/>
        <item x="139"/>
        <item x="10"/>
        <item x="48"/>
        <item x="138"/>
        <item x="125"/>
        <item x="249"/>
        <item x="415"/>
        <item x="58"/>
        <item x="251"/>
        <item x="252"/>
        <item x="62"/>
        <item x="131"/>
        <item x="227"/>
        <item x="141"/>
        <item x="75"/>
        <item x="175"/>
        <item x="168"/>
        <item x="237"/>
        <item x="213"/>
        <item x="20"/>
        <item x="167"/>
        <item x="85"/>
        <item x="96"/>
        <item x="28"/>
        <item x="196"/>
        <item x="129"/>
        <item x="199"/>
        <item x="113"/>
        <item x="145"/>
        <item x="1"/>
        <item x="189"/>
        <item x="256"/>
        <item x="13"/>
        <item x="12"/>
        <item x="50"/>
        <item x="243"/>
        <item x="104"/>
        <item x="206"/>
        <item x="205"/>
        <item x="231"/>
        <item x="157"/>
        <item x="144"/>
        <item x="265"/>
        <item x="7"/>
        <item x="166"/>
        <item x="234"/>
        <item x="118"/>
        <item x="218"/>
        <item x="21"/>
        <item x="210"/>
        <item x="66"/>
        <item x="81"/>
        <item x="47"/>
        <item x="126"/>
        <item x="191"/>
        <item x="172"/>
        <item x="101"/>
        <item x="57"/>
        <item x="5"/>
        <item x="46"/>
        <item x="195"/>
        <item x="180"/>
        <item x="6"/>
        <item x="25"/>
        <item x="153"/>
        <item x="158"/>
        <item x="39"/>
        <item x="43"/>
        <item x="88"/>
        <item x="240"/>
        <item x="161"/>
        <item x="179"/>
        <item x="197"/>
        <item x="148"/>
        <item x="214"/>
        <item x="143"/>
        <item x="244"/>
        <item x="217"/>
        <item x="77"/>
        <item x="253"/>
        <item x="176"/>
        <item x="207"/>
        <item x="301"/>
        <item x="91"/>
        <item x="42"/>
        <item x="63"/>
        <item x="209"/>
        <item x="247"/>
        <item x="92"/>
        <item x="193"/>
        <item x="83"/>
        <item x="95"/>
        <item x="169"/>
        <item x="171"/>
        <item x="16"/>
        <item x="257"/>
        <item x="53"/>
        <item x="54"/>
        <item x="235"/>
        <item x="8"/>
        <item x="65"/>
        <item x="84"/>
        <item x="202"/>
        <item x="185"/>
        <item x="80"/>
        <item x="164"/>
        <item x="233"/>
        <item x="177"/>
        <item x="79"/>
        <item x="103"/>
        <item x="55"/>
        <item x="146"/>
        <item x="15"/>
        <item x="9"/>
        <item x="160"/>
        <item x="93"/>
        <item x="245"/>
        <item x="3"/>
        <item x="159"/>
        <item x="155"/>
        <item x="215"/>
        <item x="261"/>
        <item x="45"/>
        <item x="41"/>
        <item x="136"/>
        <item x="90"/>
        <item x="198"/>
        <item x="236"/>
        <item x="27"/>
        <item x="87"/>
        <item x="17"/>
        <item x="127"/>
        <item x="4"/>
        <item x="109"/>
        <item x="49"/>
        <item x="11"/>
        <item x="259"/>
        <item x="163"/>
        <item x="242"/>
        <item x="156"/>
        <item x="33"/>
        <item x="219"/>
        <item x="71"/>
        <item x="239"/>
        <item x="232"/>
        <item x="223"/>
        <item x="194"/>
        <item x="181"/>
        <item x="201"/>
        <item x="29"/>
        <item x="107"/>
        <item x="52"/>
        <item x="222"/>
        <item x="30"/>
        <item x="68"/>
        <item x="106"/>
        <item x="70"/>
        <item x="22"/>
        <item x="220"/>
        <item x="67"/>
        <item x="241"/>
        <item x="69"/>
        <item x="182"/>
        <item x="105"/>
        <item x="184"/>
        <item x="258"/>
        <item x="31"/>
        <item x="110"/>
        <item x="183"/>
        <item x="221"/>
        <item x="32"/>
        <item x="132"/>
        <item x="51"/>
        <item x="165"/>
        <item x="89"/>
        <item x="203"/>
        <item x="34"/>
        <item x="174"/>
        <item x="186"/>
        <item x="72"/>
        <item x="262"/>
        <item x="224"/>
        <item x="212"/>
        <item x="260"/>
        <item x="60"/>
        <item x="18"/>
        <item x="250"/>
        <item x="108"/>
        <item x="98"/>
        <item x="56"/>
        <item x="94"/>
        <item x="170"/>
        <item x="208"/>
        <item x="246"/>
        <item x="149"/>
        <item x="263"/>
        <item x="187"/>
        <item x="225"/>
        <item x="111"/>
        <item x="73"/>
        <item x="35"/>
        <item t="default"/>
      </items>
    </pivotField>
  </pivotFields>
  <rowFields count="1">
    <field x="1"/>
  </rowFields>
  <rowItems count="11">
    <i>
      <x v="26"/>
    </i>
    <i>
      <x v="8"/>
    </i>
    <i>
      <x v="19"/>
    </i>
    <i>
      <x v="47"/>
    </i>
    <i>
      <x v="48"/>
    </i>
    <i>
      <x v="22"/>
    </i>
    <i>
      <x v="36"/>
    </i>
    <i>
      <x v="27"/>
    </i>
    <i>
      <x v="1"/>
    </i>
    <i>
      <x v="28"/>
    </i>
    <i t="grand">
      <x/>
    </i>
  </rowItems>
  <colItems count="1">
    <i/>
  </colItems>
  <dataFields count="1">
    <dataField name="Suma de todos los Servicios " fld="11" baseField="0" baseItem="0" numFmtId="1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20FD5-92A0-48FE-8CAE-735B6AC6C5DD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3:B83" firstHeaderRow="1" firstDataRow="1" firstDataCol="1"/>
  <pivotFields count="12">
    <pivotField numFmtId="1" showAll="0"/>
    <pivotField axis="axisRow" showAll="0" sortType="ascending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4" showAll="0"/>
    <pivotField dataField="1" numFmtId="1" showAll="0"/>
  </pivotFields>
  <rowFields count="1">
    <field x="1"/>
  </rowFields>
  <rowItems count="50">
    <i>
      <x v="33"/>
    </i>
    <i>
      <x v="32"/>
    </i>
    <i>
      <x v="34"/>
    </i>
    <i>
      <x v="35"/>
    </i>
    <i>
      <x v="11"/>
    </i>
    <i>
      <x v="10"/>
    </i>
    <i>
      <x v="44"/>
    </i>
    <i>
      <x v="3"/>
    </i>
    <i>
      <x v="2"/>
    </i>
    <i>
      <x v="4"/>
    </i>
    <i>
      <x/>
    </i>
    <i>
      <x v="31"/>
    </i>
    <i>
      <x v="18"/>
    </i>
    <i>
      <x v="37"/>
    </i>
    <i>
      <x v="13"/>
    </i>
    <i>
      <x v="40"/>
    </i>
    <i>
      <x v="6"/>
    </i>
    <i>
      <x v="30"/>
    </i>
    <i>
      <x v="38"/>
    </i>
    <i>
      <x v="39"/>
    </i>
    <i>
      <x v="46"/>
    </i>
    <i>
      <x v="17"/>
    </i>
    <i>
      <x v="12"/>
    </i>
    <i>
      <x v="41"/>
    </i>
    <i>
      <x v="9"/>
    </i>
    <i>
      <x v="42"/>
    </i>
    <i>
      <x v="15"/>
    </i>
    <i>
      <x v="29"/>
    </i>
    <i>
      <x v="25"/>
    </i>
    <i>
      <x v="24"/>
    </i>
    <i>
      <x v="23"/>
    </i>
    <i>
      <x v="14"/>
    </i>
    <i>
      <x v="20"/>
    </i>
    <i>
      <x v="21"/>
    </i>
    <i>
      <x v="45"/>
    </i>
    <i>
      <x v="43"/>
    </i>
    <i>
      <x v="7"/>
    </i>
    <i>
      <x v="16"/>
    </i>
    <i>
      <x v="5"/>
    </i>
    <i>
      <x v="26"/>
    </i>
    <i>
      <x v="8"/>
    </i>
    <i>
      <x v="19"/>
    </i>
    <i>
      <x v="47"/>
    </i>
    <i>
      <x v="48"/>
    </i>
    <i>
      <x v="22"/>
    </i>
    <i>
      <x v="36"/>
    </i>
    <i>
      <x v="27"/>
    </i>
    <i>
      <x v="1"/>
    </i>
    <i>
      <x v="28"/>
    </i>
    <i t="grand">
      <x/>
    </i>
  </rowItems>
  <colItems count="1">
    <i/>
  </colItems>
  <dataFields count="1">
    <dataField name="Suma de Suma de todos los Servicios" fld="1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31237-FEAB-409D-B0B0-7D68E8795616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7:B16" firstHeaderRow="1" firstDataRow="1" firstDataCol="1"/>
  <pivotFields count="2">
    <pivotField axis="axisRow" showAll="0" sortType="descending">
      <items count="9">
        <item x="7"/>
        <item x="4"/>
        <item x="2"/>
        <item x="3"/>
        <item x="1"/>
        <item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</pivotFields>
  <rowFields count="1">
    <field x="0"/>
  </rowFields>
  <rowItems count="9">
    <i>
      <x v="6"/>
    </i>
    <i>
      <x v="4"/>
    </i>
    <i>
      <x v="5"/>
    </i>
    <i>
      <x v="1"/>
    </i>
    <i>
      <x v="7"/>
    </i>
    <i>
      <x v="2"/>
    </i>
    <i>
      <x/>
    </i>
    <i>
      <x v="3"/>
    </i>
    <i t="grand">
      <x/>
    </i>
  </rowItems>
  <colItems count="1">
    <i/>
  </colItems>
  <dataFields count="1">
    <dataField name="Suma de Total de cada servicio" fld="1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4CAF-B0EE-4A4F-99F5-2C4E7F69B1DF}" name="Tabla1" displayName="Tabla1" ref="A1:L495" totalsRowShown="0">
  <autoFilter ref="A1:L495" xr:uid="{01004CAF-B0EE-4A4F-99F5-2C4E7F69B1DF}"/>
  <sortState xmlns:xlrd2="http://schemas.microsoft.com/office/spreadsheetml/2017/richdata2" ref="A2:L495">
    <sortCondition descending="1" ref="L1:L495"/>
  </sortState>
  <tableColumns count="12">
    <tableColumn id="1" xr3:uid="{E00903E2-5B95-4A2E-B89D-5B0052D7F544}" name="Año" dataDxfId="12"/>
    <tableColumn id="2" xr3:uid="{6015B546-CCE8-49F7-AD82-A56721BEB06D}" name="Oficina Representación"/>
    <tableColumn id="3" xr3:uid="{6C24FA5D-647C-4DF8-A6EA-66A6E6528CE5}" name="Serv. Culturales Derecho Hab Publ" dataDxfId="11"/>
    <tableColumn id="4" xr3:uid="{5625FA80-061B-464D-B123-C974C04DA294}" name="Serv. Deportivos Derecho Hab Publ" dataDxfId="10"/>
    <tableColumn id="5" xr3:uid="{24DE0E05-24AF-4FCC-9633-B84A75B97D9A}" name="Serv. Sociales Derecho Hab Publ" dataDxfId="9"/>
    <tableColumn id="6" xr3:uid="{2AC1C74A-7627-48C3-AC0B-15FBB8351EE0}" name="Serv. Funerarios Derecho Hab Publ" dataDxfId="8"/>
    <tableColumn id="7" xr3:uid="{3E1E2BD6-8333-4561-B9F1-248EFBB7920E}" name="Serv. Sociales Pensionados Jubl" dataDxfId="7"/>
    <tableColumn id="8" xr3:uid="{2AC1B96B-1C99-43AF-AFED-47F1F4C408FD}" name="Fome Deportivo Pensionados Jubl" dataDxfId="6"/>
    <tableColumn id="9" xr3:uid="{E70B6682-15CA-4E92-BD60-818587E36A59}" name="Serv. Culturales Pensionados Jubl" dataDxfId="5"/>
    <tableColumn id="10" xr3:uid="{08067B72-2814-4712-B380-BB03A667992C}" name="Soci Comedores Pensionados Jubl" dataDxfId="4"/>
    <tableColumn id="11" xr3:uid="{230A8DA6-C4FF-44BE-9A39-A60006ECF43E}" name="Fecha" dataDxfId="3"/>
    <tableColumn id="12" xr3:uid="{859920B6-B83D-4724-917B-E5C66D0C0364}" name="Suma de todos los Servicios" dataDxfId="2">
      <calculatedColumnFormula>SUM(Tabla1[[#This Row],[Serv. Culturales Derecho Hab Publ]:[Soci Comedores Pensionados Jubl]])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BA7B8-89FD-4590-985A-D669DB928326}" name="Tabla3" displayName="Tabla3" ref="B505:C513" totalsRowShown="0">
  <autoFilter ref="B505:C513" xr:uid="{943BA7B8-89FD-4590-985A-D669DB928326}"/>
  <tableColumns count="2">
    <tableColumn id="1" xr3:uid="{52308A83-3E58-4597-85E5-390E9550E560}" name="Nombre Servicio" dataDxfId="1"/>
    <tableColumn id="2" xr3:uid="{DDDD0592-6492-4A2A-BC52-9B55A82E2E0F}" name="Total de cada servici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9743-C6BA-4379-8C03-655115C7A180}">
  <dimension ref="A1:L513"/>
  <sheetViews>
    <sheetView topLeftCell="A477" workbookViewId="0">
      <selection activeCell="E504" sqref="E504"/>
    </sheetView>
  </sheetViews>
  <sheetFormatPr baseColWidth="10" defaultRowHeight="14.4" x14ac:dyDescent="0.3"/>
  <cols>
    <col min="1" max="1" width="10.5546875" style="2" bestFit="1" customWidth="1"/>
    <col min="2" max="2" width="22.109375" customWidth="1"/>
    <col min="3" max="3" width="31.33203125" style="2" customWidth="1"/>
    <col min="4" max="4" width="32.21875" style="2" customWidth="1"/>
    <col min="5" max="5" width="29.6640625" style="2" customWidth="1"/>
    <col min="6" max="6" width="31.77734375" customWidth="1"/>
    <col min="7" max="7" width="29.6640625" style="2" customWidth="1"/>
    <col min="8" max="8" width="32.44140625" style="2" customWidth="1"/>
    <col min="9" max="9" width="31.33203125" style="2" customWidth="1"/>
    <col min="10" max="10" width="32.33203125" customWidth="1"/>
    <col min="11" max="11" width="10.5546875" style="1" bestFit="1" customWidth="1"/>
    <col min="12" max="12" width="26.5546875" bestFit="1" customWidth="1"/>
  </cols>
  <sheetData>
    <row r="1" spans="1:12" x14ac:dyDescent="0.3">
      <c r="A1" s="2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t="s">
        <v>39</v>
      </c>
      <c r="G1" s="2" t="s">
        <v>40</v>
      </c>
      <c r="H1" s="2" t="s">
        <v>41</v>
      </c>
      <c r="I1" s="2" t="s">
        <v>42</v>
      </c>
      <c r="J1" t="s">
        <v>43</v>
      </c>
      <c r="K1" s="1" t="s">
        <v>44</v>
      </c>
      <c r="L1" t="s">
        <v>69</v>
      </c>
    </row>
    <row r="2" spans="1:12" x14ac:dyDescent="0.3">
      <c r="A2" s="2">
        <v>2013</v>
      </c>
      <c r="B2" t="s">
        <v>24</v>
      </c>
      <c r="C2" s="2">
        <v>4458940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384945</v>
      </c>
      <c r="J2" s="2">
        <v>0</v>
      </c>
      <c r="K2" s="1">
        <v>41275</v>
      </c>
      <c r="L2" s="2">
        <f>SUM(Tabla1[[#This Row],[Serv. Culturales Derecho Hab Publ]:[Soci Comedores Pensionados Jubl]])</f>
        <v>4843885</v>
      </c>
    </row>
    <row r="3" spans="1:12" x14ac:dyDescent="0.3">
      <c r="A3" s="2">
        <v>2014</v>
      </c>
      <c r="B3" t="s">
        <v>45</v>
      </c>
      <c r="C3" s="2">
        <v>2893725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14790</v>
      </c>
      <c r="J3" s="2">
        <v>0</v>
      </c>
      <c r="K3" s="1">
        <v>41640</v>
      </c>
      <c r="L3" s="2">
        <f>SUM(Tabla1[[#This Row],[Serv. Culturales Derecho Hab Publ]:[Soci Comedores Pensionados Jubl]])</f>
        <v>2908515</v>
      </c>
    </row>
    <row r="4" spans="1:12" x14ac:dyDescent="0.3">
      <c r="A4" s="2">
        <v>2015</v>
      </c>
      <c r="B4" t="s">
        <v>24</v>
      </c>
      <c r="C4" s="2">
        <v>2730808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36648</v>
      </c>
      <c r="J4" s="2">
        <v>0</v>
      </c>
      <c r="K4" s="1">
        <v>42005</v>
      </c>
      <c r="L4" s="2">
        <f>SUM(Tabla1[[#This Row],[Serv. Culturales Derecho Hab Publ]:[Soci Comedores Pensionados Jubl]])</f>
        <v>2767456</v>
      </c>
    </row>
    <row r="5" spans="1:12" x14ac:dyDescent="0.3">
      <c r="A5" s="2">
        <v>2018</v>
      </c>
      <c r="B5" t="s">
        <v>24</v>
      </c>
      <c r="C5" s="2">
        <v>1878886</v>
      </c>
      <c r="D5" s="2">
        <v>0</v>
      </c>
      <c r="E5" s="2">
        <v>0</v>
      </c>
      <c r="F5" s="2">
        <v>95</v>
      </c>
      <c r="G5" s="2">
        <v>0</v>
      </c>
      <c r="H5" s="2">
        <v>0</v>
      </c>
      <c r="I5" s="2">
        <v>9199</v>
      </c>
      <c r="J5" s="2">
        <v>0</v>
      </c>
      <c r="K5" s="1">
        <v>43101</v>
      </c>
      <c r="L5" s="2">
        <f>SUM(Tabla1[[#This Row],[Serv. Culturales Derecho Hab Publ]:[Soci Comedores Pensionados Jubl]])</f>
        <v>1888180</v>
      </c>
    </row>
    <row r="6" spans="1:12" x14ac:dyDescent="0.3">
      <c r="A6" s="2">
        <v>2017</v>
      </c>
      <c r="B6" t="s">
        <v>24</v>
      </c>
      <c r="C6" s="2">
        <v>1138040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12874</v>
      </c>
      <c r="J6" s="2">
        <v>0</v>
      </c>
      <c r="K6" s="1">
        <v>42736</v>
      </c>
      <c r="L6" s="2">
        <f>SUM(Tabla1[[#This Row],[Serv. Culturales Derecho Hab Publ]:[Soci Comedores Pensionados Jubl]])</f>
        <v>1150914</v>
      </c>
    </row>
    <row r="7" spans="1:12" x14ac:dyDescent="0.3">
      <c r="A7" s="2">
        <v>2019</v>
      </c>
      <c r="B7" t="s">
        <v>24</v>
      </c>
      <c r="C7" s="2">
        <v>997716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2530</v>
      </c>
      <c r="J7" s="2">
        <v>0</v>
      </c>
      <c r="K7" s="1">
        <v>43466</v>
      </c>
      <c r="L7" s="2">
        <f>SUM(Tabla1[[#This Row],[Serv. Culturales Derecho Hab Publ]:[Soci Comedores Pensionados Jubl]])</f>
        <v>1000246</v>
      </c>
    </row>
    <row r="8" spans="1:12" x14ac:dyDescent="0.3">
      <c r="A8" s="2">
        <v>2016</v>
      </c>
      <c r="B8" t="s">
        <v>24</v>
      </c>
      <c r="C8" s="2">
        <v>972448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23673</v>
      </c>
      <c r="J8" s="2">
        <v>0</v>
      </c>
      <c r="K8" s="1">
        <v>42370</v>
      </c>
      <c r="L8" s="2">
        <f>SUM(Tabla1[[#This Row],[Serv. Culturales Derecho Hab Publ]:[Soci Comedores Pensionados Jubl]])</f>
        <v>996121</v>
      </c>
    </row>
    <row r="9" spans="1:12" x14ac:dyDescent="0.3">
      <c r="A9" s="2">
        <v>2019</v>
      </c>
      <c r="B9" t="s">
        <v>14</v>
      </c>
      <c r="C9" s="2">
        <v>277218</v>
      </c>
      <c r="D9" s="2">
        <v>34857</v>
      </c>
      <c r="E9" s="2">
        <v>0</v>
      </c>
      <c r="F9" s="2">
        <v>56</v>
      </c>
      <c r="G9" s="2">
        <v>41550</v>
      </c>
      <c r="H9" s="2">
        <v>5755</v>
      </c>
      <c r="I9" s="2">
        <v>105889</v>
      </c>
      <c r="J9" s="2">
        <v>0</v>
      </c>
      <c r="K9" s="1">
        <v>43466</v>
      </c>
      <c r="L9" s="2">
        <f>SUM(Tabla1[[#This Row],[Serv. Culturales Derecho Hab Publ]:[Soci Comedores Pensionados Jubl]])</f>
        <v>465325</v>
      </c>
    </row>
    <row r="10" spans="1:12" x14ac:dyDescent="0.3">
      <c r="A10" s="2">
        <v>2018</v>
      </c>
      <c r="B10" t="s">
        <v>14</v>
      </c>
      <c r="C10" s="2">
        <v>275284</v>
      </c>
      <c r="D10" s="2">
        <v>44439</v>
      </c>
      <c r="E10" s="2">
        <v>0</v>
      </c>
      <c r="F10" s="2">
        <v>103</v>
      </c>
      <c r="G10" s="2">
        <v>51000</v>
      </c>
      <c r="H10" s="2">
        <v>10752</v>
      </c>
      <c r="I10" s="2">
        <v>77654</v>
      </c>
      <c r="J10" s="2">
        <v>0</v>
      </c>
      <c r="K10" s="1">
        <v>43101</v>
      </c>
      <c r="L10" s="2">
        <f>SUM(Tabla1[[#This Row],[Serv. Culturales Derecho Hab Publ]:[Soci Comedores Pensionados Jubl]])</f>
        <v>459232</v>
      </c>
    </row>
    <row r="11" spans="1:12" x14ac:dyDescent="0.3">
      <c r="A11" s="2">
        <v>2017</v>
      </c>
      <c r="B11" t="s">
        <v>14</v>
      </c>
      <c r="C11" s="2">
        <v>278566</v>
      </c>
      <c r="D11" s="2">
        <v>34747</v>
      </c>
      <c r="E11" s="2">
        <v>0</v>
      </c>
      <c r="F11" s="2">
        <v>110</v>
      </c>
      <c r="G11" s="2">
        <v>50835</v>
      </c>
      <c r="H11" s="2">
        <v>7023</v>
      </c>
      <c r="I11" s="2">
        <v>79082</v>
      </c>
      <c r="J11" s="2">
        <v>0</v>
      </c>
      <c r="K11" s="1">
        <v>42736</v>
      </c>
      <c r="L11" s="2">
        <f>SUM(Tabla1[[#This Row],[Serv. Culturales Derecho Hab Publ]:[Soci Comedores Pensionados Jubl]])</f>
        <v>450363</v>
      </c>
    </row>
    <row r="12" spans="1:12" x14ac:dyDescent="0.3">
      <c r="A12" s="2">
        <v>2015</v>
      </c>
      <c r="B12" t="s">
        <v>14</v>
      </c>
      <c r="C12" s="2">
        <v>279410</v>
      </c>
      <c r="D12" s="2">
        <v>32738</v>
      </c>
      <c r="E12" s="2">
        <v>0</v>
      </c>
      <c r="F12" s="2">
        <v>53</v>
      </c>
      <c r="G12" s="2">
        <v>30884</v>
      </c>
      <c r="H12" s="2">
        <v>12133</v>
      </c>
      <c r="I12" s="2">
        <v>31662</v>
      </c>
      <c r="J12" s="2">
        <v>0</v>
      </c>
      <c r="K12" s="1">
        <v>42005</v>
      </c>
      <c r="L12" s="2">
        <f>SUM(Tabla1[[#This Row],[Serv. Culturales Derecho Hab Publ]:[Soci Comedores Pensionados Jubl]])</f>
        <v>386880</v>
      </c>
    </row>
    <row r="13" spans="1:12" x14ac:dyDescent="0.3">
      <c r="A13" s="2">
        <v>2014</v>
      </c>
      <c r="B13" t="s">
        <v>14</v>
      </c>
      <c r="C13" s="2">
        <v>279230</v>
      </c>
      <c r="D13" s="2">
        <v>28336</v>
      </c>
      <c r="E13" s="2">
        <v>0</v>
      </c>
      <c r="F13" s="2">
        <v>85</v>
      </c>
      <c r="G13" s="2">
        <v>34685</v>
      </c>
      <c r="H13" s="2">
        <v>6994</v>
      </c>
      <c r="I13" s="2">
        <v>33335</v>
      </c>
      <c r="J13" s="2">
        <v>0</v>
      </c>
      <c r="K13" s="1">
        <v>41640</v>
      </c>
      <c r="L13" s="2">
        <f>SUM(Tabla1[[#This Row],[Serv. Culturales Derecho Hab Publ]:[Soci Comedores Pensionados Jubl]])</f>
        <v>382665</v>
      </c>
    </row>
    <row r="14" spans="1:12" x14ac:dyDescent="0.3">
      <c r="A14" s="2">
        <v>2015</v>
      </c>
      <c r="B14" t="s">
        <v>50</v>
      </c>
      <c r="C14" s="2">
        <v>234704</v>
      </c>
      <c r="D14" s="2">
        <v>83159</v>
      </c>
      <c r="E14" s="2">
        <v>0</v>
      </c>
      <c r="F14" s="2">
        <v>97</v>
      </c>
      <c r="G14" s="2">
        <v>16522</v>
      </c>
      <c r="H14" s="2">
        <v>8080</v>
      </c>
      <c r="I14" s="2">
        <v>10061</v>
      </c>
      <c r="J14" s="2">
        <v>0</v>
      </c>
      <c r="K14" s="1">
        <v>42005</v>
      </c>
      <c r="L14" s="2">
        <f>SUM(Tabla1[[#This Row],[Serv. Culturales Derecho Hab Publ]:[Soci Comedores Pensionados Jubl]])</f>
        <v>352623</v>
      </c>
    </row>
    <row r="15" spans="1:12" x14ac:dyDescent="0.3">
      <c r="A15" s="2">
        <v>2015</v>
      </c>
      <c r="B15" t="s">
        <v>57</v>
      </c>
      <c r="C15" s="2">
        <v>187915</v>
      </c>
      <c r="D15" s="2">
        <v>110643</v>
      </c>
      <c r="E15" s="2">
        <v>0</v>
      </c>
      <c r="F15" s="2">
        <v>10506</v>
      </c>
      <c r="G15" s="2">
        <v>11585</v>
      </c>
      <c r="H15" s="2">
        <v>16086</v>
      </c>
      <c r="I15" s="2">
        <v>11275</v>
      </c>
      <c r="J15" s="2">
        <v>0</v>
      </c>
      <c r="K15" s="1">
        <v>42005</v>
      </c>
      <c r="L15" s="2">
        <f>SUM(Tabla1[[#This Row],[Serv. Culturales Derecho Hab Publ]:[Soci Comedores Pensionados Jubl]])</f>
        <v>348010</v>
      </c>
    </row>
    <row r="16" spans="1:12" x14ac:dyDescent="0.3">
      <c r="A16" s="2">
        <v>2019</v>
      </c>
      <c r="B16" t="s">
        <v>50</v>
      </c>
      <c r="C16" s="2">
        <v>204535</v>
      </c>
      <c r="D16" s="2">
        <v>88112</v>
      </c>
      <c r="E16" s="2">
        <v>0</v>
      </c>
      <c r="F16" s="2">
        <v>125</v>
      </c>
      <c r="G16" s="2">
        <v>10735</v>
      </c>
      <c r="H16" s="2">
        <v>11894</v>
      </c>
      <c r="I16" s="2">
        <v>14648</v>
      </c>
      <c r="J16" s="2">
        <v>0</v>
      </c>
      <c r="K16" s="1">
        <v>43466</v>
      </c>
      <c r="L16" s="2">
        <f>SUM(Tabla1[[#This Row],[Serv. Culturales Derecho Hab Publ]:[Soci Comedores Pensionados Jubl]])</f>
        <v>330049</v>
      </c>
    </row>
    <row r="17" spans="1:12" x14ac:dyDescent="0.3">
      <c r="A17" s="2">
        <v>2013</v>
      </c>
      <c r="B17" t="s">
        <v>14</v>
      </c>
      <c r="C17" s="2">
        <v>273717</v>
      </c>
      <c r="D17" s="2">
        <v>18736</v>
      </c>
      <c r="E17" s="2">
        <v>0</v>
      </c>
      <c r="F17" s="2">
        <v>94</v>
      </c>
      <c r="G17" s="2">
        <v>6178</v>
      </c>
      <c r="H17" s="2">
        <v>1543</v>
      </c>
      <c r="I17" s="2">
        <v>29140</v>
      </c>
      <c r="J17" s="2">
        <v>0</v>
      </c>
      <c r="K17" s="1">
        <v>41275</v>
      </c>
      <c r="L17" s="2">
        <f>SUM(Tabla1[[#This Row],[Serv. Culturales Derecho Hab Publ]:[Soci Comedores Pensionados Jubl]])</f>
        <v>329408</v>
      </c>
    </row>
    <row r="18" spans="1:12" x14ac:dyDescent="0.3">
      <c r="A18" s="2">
        <v>2014</v>
      </c>
      <c r="B18" t="s">
        <v>50</v>
      </c>
      <c r="C18" s="2">
        <v>209668</v>
      </c>
      <c r="D18" s="2">
        <v>80233</v>
      </c>
      <c r="E18" s="2">
        <v>0</v>
      </c>
      <c r="F18" s="2">
        <v>166</v>
      </c>
      <c r="G18" s="2">
        <v>16736</v>
      </c>
      <c r="H18" s="2">
        <v>12145</v>
      </c>
      <c r="I18" s="2">
        <v>9706</v>
      </c>
      <c r="J18" s="2">
        <v>0</v>
      </c>
      <c r="K18" s="1">
        <v>41640</v>
      </c>
      <c r="L18" s="2">
        <f>SUM(Tabla1[[#This Row],[Serv. Culturales Derecho Hab Publ]:[Soci Comedores Pensionados Jubl]])</f>
        <v>328654</v>
      </c>
    </row>
    <row r="19" spans="1:12" x14ac:dyDescent="0.3">
      <c r="A19" s="2">
        <v>2019</v>
      </c>
      <c r="B19" t="s">
        <v>53</v>
      </c>
      <c r="C19" s="2">
        <v>119571</v>
      </c>
      <c r="D19" s="2">
        <v>161933</v>
      </c>
      <c r="E19" s="2">
        <v>0</v>
      </c>
      <c r="F19" s="2">
        <v>9116</v>
      </c>
      <c r="G19" s="2">
        <v>8594</v>
      </c>
      <c r="H19" s="2">
        <v>11419</v>
      </c>
      <c r="I19" s="2">
        <v>12443</v>
      </c>
      <c r="J19" s="2">
        <v>0</v>
      </c>
      <c r="K19" s="1">
        <v>43466</v>
      </c>
      <c r="L19" s="2">
        <f>SUM(Tabla1[[#This Row],[Serv. Culturales Derecho Hab Publ]:[Soci Comedores Pensionados Jubl]])</f>
        <v>323076</v>
      </c>
    </row>
    <row r="20" spans="1:12" x14ac:dyDescent="0.3">
      <c r="A20" s="2">
        <v>2018</v>
      </c>
      <c r="B20" t="s">
        <v>50</v>
      </c>
      <c r="C20" s="2">
        <v>196588</v>
      </c>
      <c r="D20" s="2">
        <v>85222</v>
      </c>
      <c r="E20" s="2">
        <v>0</v>
      </c>
      <c r="F20" s="2">
        <v>117</v>
      </c>
      <c r="G20" s="2">
        <v>7158</v>
      </c>
      <c r="H20" s="2">
        <v>12025</v>
      </c>
      <c r="I20" s="2">
        <v>15704</v>
      </c>
      <c r="J20" s="2">
        <v>0</v>
      </c>
      <c r="K20" s="1">
        <v>43101</v>
      </c>
      <c r="L20" s="2">
        <f>SUM(Tabla1[[#This Row],[Serv. Culturales Derecho Hab Publ]:[Soci Comedores Pensionados Jubl]])</f>
        <v>316814</v>
      </c>
    </row>
    <row r="21" spans="1:12" x14ac:dyDescent="0.3">
      <c r="A21" s="2">
        <v>2018</v>
      </c>
      <c r="B21" t="s">
        <v>55</v>
      </c>
      <c r="C21" s="2">
        <v>142850</v>
      </c>
      <c r="D21" s="2">
        <v>107345</v>
      </c>
      <c r="E21" s="2">
        <v>0</v>
      </c>
      <c r="F21" s="2">
        <v>1863</v>
      </c>
      <c r="G21" s="2">
        <v>14215</v>
      </c>
      <c r="H21" s="2">
        <v>16656</v>
      </c>
      <c r="I21" s="2">
        <v>30612</v>
      </c>
      <c r="J21" s="2">
        <v>0</v>
      </c>
      <c r="K21" s="1">
        <v>43101</v>
      </c>
      <c r="L21" s="2">
        <f>SUM(Tabla1[[#This Row],[Serv. Culturales Derecho Hab Publ]:[Soci Comedores Pensionados Jubl]])</f>
        <v>313541</v>
      </c>
    </row>
    <row r="22" spans="1:12" x14ac:dyDescent="0.3">
      <c r="A22" s="2">
        <v>2019</v>
      </c>
      <c r="B22" t="s">
        <v>55</v>
      </c>
      <c r="C22" s="2">
        <v>141741</v>
      </c>
      <c r="D22" s="2">
        <v>114647</v>
      </c>
      <c r="E22" s="2">
        <v>0</v>
      </c>
      <c r="F22" s="2">
        <v>1692</v>
      </c>
      <c r="G22" s="2">
        <v>15181</v>
      </c>
      <c r="H22" s="2">
        <v>12065</v>
      </c>
      <c r="I22" s="2">
        <v>18830</v>
      </c>
      <c r="J22" s="2">
        <v>0</v>
      </c>
      <c r="K22" s="1">
        <v>43466</v>
      </c>
      <c r="L22" s="2">
        <f>SUM(Tabla1[[#This Row],[Serv. Culturales Derecho Hab Publ]:[Soci Comedores Pensionados Jubl]])</f>
        <v>304156</v>
      </c>
    </row>
    <row r="23" spans="1:12" x14ac:dyDescent="0.3">
      <c r="A23" s="2">
        <v>2014</v>
      </c>
      <c r="B23" t="s">
        <v>59</v>
      </c>
      <c r="C23" s="2">
        <v>154188</v>
      </c>
      <c r="D23" s="2">
        <v>102821</v>
      </c>
      <c r="E23" s="2">
        <v>0</v>
      </c>
      <c r="F23" s="2">
        <v>2558</v>
      </c>
      <c r="G23" s="2">
        <v>5203</v>
      </c>
      <c r="H23" s="2">
        <v>17885</v>
      </c>
      <c r="I23" s="2">
        <v>19915</v>
      </c>
      <c r="J23" s="2">
        <v>0</v>
      </c>
      <c r="K23" s="1">
        <v>41640</v>
      </c>
      <c r="L23" s="2">
        <f>SUM(Tabla1[[#This Row],[Serv. Culturales Derecho Hab Publ]:[Soci Comedores Pensionados Jubl]])</f>
        <v>302570</v>
      </c>
    </row>
    <row r="24" spans="1:12" x14ac:dyDescent="0.3">
      <c r="A24" s="2">
        <v>2017</v>
      </c>
      <c r="B24" t="s">
        <v>55</v>
      </c>
      <c r="C24" s="2">
        <v>151018</v>
      </c>
      <c r="D24" s="2">
        <v>88924</v>
      </c>
      <c r="E24" s="2">
        <v>0</v>
      </c>
      <c r="F24" s="2">
        <v>2197</v>
      </c>
      <c r="G24" s="2">
        <v>16229</v>
      </c>
      <c r="H24" s="2">
        <v>17506</v>
      </c>
      <c r="I24" s="2">
        <v>26677</v>
      </c>
      <c r="J24" s="2">
        <v>0</v>
      </c>
      <c r="K24" s="1">
        <v>42736</v>
      </c>
      <c r="L24" s="2">
        <f>SUM(Tabla1[[#This Row],[Serv. Culturales Derecho Hab Publ]:[Soci Comedores Pensionados Jubl]])</f>
        <v>302551</v>
      </c>
    </row>
    <row r="25" spans="1:12" x14ac:dyDescent="0.3">
      <c r="A25" s="2">
        <v>2017</v>
      </c>
      <c r="B25" t="s">
        <v>50</v>
      </c>
      <c r="C25" s="2">
        <v>184992</v>
      </c>
      <c r="D25" s="2">
        <v>85679</v>
      </c>
      <c r="E25" s="2">
        <v>0</v>
      </c>
      <c r="F25" s="2">
        <v>98</v>
      </c>
      <c r="G25" s="2">
        <v>7628</v>
      </c>
      <c r="H25" s="2">
        <v>12462</v>
      </c>
      <c r="I25" s="2">
        <v>9697</v>
      </c>
      <c r="J25" s="2">
        <v>0</v>
      </c>
      <c r="K25" s="1">
        <v>42736</v>
      </c>
      <c r="L25" s="2">
        <f>SUM(Tabla1[[#This Row],[Serv. Culturales Derecho Hab Publ]:[Soci Comedores Pensionados Jubl]])</f>
        <v>300556</v>
      </c>
    </row>
    <row r="26" spans="1:12" x14ac:dyDescent="0.3">
      <c r="A26" s="2">
        <v>2013</v>
      </c>
      <c r="B26" t="s">
        <v>59</v>
      </c>
      <c r="C26" s="2">
        <v>117133</v>
      </c>
      <c r="D26" s="2">
        <v>104254</v>
      </c>
      <c r="E26" s="2">
        <v>0</v>
      </c>
      <c r="F26" s="2">
        <v>2529</v>
      </c>
      <c r="G26" s="2">
        <v>5574</v>
      </c>
      <c r="H26" s="2">
        <v>19327</v>
      </c>
      <c r="I26" s="2">
        <v>51613</v>
      </c>
      <c r="J26" s="2">
        <v>0</v>
      </c>
      <c r="K26" s="1">
        <v>41275</v>
      </c>
      <c r="L26" s="2">
        <f>SUM(Tabla1[[#This Row],[Serv. Culturales Derecho Hab Publ]:[Soci Comedores Pensionados Jubl]])</f>
        <v>300430</v>
      </c>
    </row>
    <row r="27" spans="1:12" x14ac:dyDescent="0.3">
      <c r="A27" s="2">
        <v>2018</v>
      </c>
      <c r="B27" t="s">
        <v>46</v>
      </c>
      <c r="C27" s="2">
        <v>240729</v>
      </c>
      <c r="D27" s="2">
        <v>32217</v>
      </c>
      <c r="E27" s="2">
        <v>0</v>
      </c>
      <c r="F27" s="2">
        <v>3131</v>
      </c>
      <c r="G27" s="2">
        <v>8336</v>
      </c>
      <c r="H27" s="2">
        <v>3185</v>
      </c>
      <c r="I27" s="2">
        <v>10854</v>
      </c>
      <c r="J27" s="2">
        <v>0</v>
      </c>
      <c r="K27" s="1">
        <v>43101</v>
      </c>
      <c r="L27" s="2">
        <f>SUM(Tabla1[[#This Row],[Serv. Culturales Derecho Hab Publ]:[Soci Comedores Pensionados Jubl]])</f>
        <v>298452</v>
      </c>
    </row>
    <row r="28" spans="1:12" x14ac:dyDescent="0.3">
      <c r="A28" s="2">
        <v>2015</v>
      </c>
      <c r="B28" t="s">
        <v>46</v>
      </c>
      <c r="C28" s="2">
        <v>243748</v>
      </c>
      <c r="D28" s="2">
        <v>33879</v>
      </c>
      <c r="E28" s="2">
        <v>0</v>
      </c>
      <c r="F28" s="2">
        <v>2770</v>
      </c>
      <c r="G28" s="2">
        <v>5211</v>
      </c>
      <c r="H28" s="2">
        <v>1944</v>
      </c>
      <c r="I28" s="2">
        <v>10747</v>
      </c>
      <c r="J28" s="2">
        <v>0</v>
      </c>
      <c r="K28" s="1">
        <v>42005</v>
      </c>
      <c r="L28" s="2">
        <f>SUM(Tabla1[[#This Row],[Serv. Culturales Derecho Hab Publ]:[Soci Comedores Pensionados Jubl]])</f>
        <v>298299</v>
      </c>
    </row>
    <row r="29" spans="1:12" x14ac:dyDescent="0.3">
      <c r="A29" s="2">
        <v>2017</v>
      </c>
      <c r="B29" t="s">
        <v>46</v>
      </c>
      <c r="C29" s="2">
        <v>236567</v>
      </c>
      <c r="D29" s="2">
        <v>33015</v>
      </c>
      <c r="E29" s="2">
        <v>0</v>
      </c>
      <c r="F29" s="2">
        <v>3555</v>
      </c>
      <c r="G29" s="2">
        <v>6288</v>
      </c>
      <c r="H29" s="2">
        <v>3915</v>
      </c>
      <c r="I29" s="2">
        <v>11731</v>
      </c>
      <c r="J29" s="2">
        <v>0</v>
      </c>
      <c r="K29" s="1">
        <v>42736</v>
      </c>
      <c r="L29" s="2">
        <f>SUM(Tabla1[[#This Row],[Serv. Culturales Derecho Hab Publ]:[Soci Comedores Pensionados Jubl]])</f>
        <v>295071</v>
      </c>
    </row>
    <row r="30" spans="1:12" x14ac:dyDescent="0.3">
      <c r="A30" s="2">
        <v>2014</v>
      </c>
      <c r="B30" t="s">
        <v>46</v>
      </c>
      <c r="C30" s="2">
        <v>244524</v>
      </c>
      <c r="D30" s="2">
        <v>33134</v>
      </c>
      <c r="E30" s="2">
        <v>0</v>
      </c>
      <c r="F30" s="2">
        <v>4273</v>
      </c>
      <c r="G30" s="2">
        <v>470</v>
      </c>
      <c r="H30" s="2">
        <v>3437</v>
      </c>
      <c r="I30" s="2">
        <v>8458</v>
      </c>
      <c r="J30" s="2">
        <v>0</v>
      </c>
      <c r="K30" s="1">
        <v>41640</v>
      </c>
      <c r="L30" s="2">
        <f>SUM(Tabla1[[#This Row],[Serv. Culturales Derecho Hab Publ]:[Soci Comedores Pensionados Jubl]])</f>
        <v>294296</v>
      </c>
    </row>
    <row r="31" spans="1:12" x14ac:dyDescent="0.3">
      <c r="A31" s="2">
        <v>2016</v>
      </c>
      <c r="B31" t="s">
        <v>14</v>
      </c>
      <c r="C31" s="2">
        <v>203286</v>
      </c>
      <c r="D31" s="2">
        <v>0</v>
      </c>
      <c r="E31" s="2">
        <v>0</v>
      </c>
      <c r="F31" s="2">
        <v>0</v>
      </c>
      <c r="G31" s="2">
        <v>26559</v>
      </c>
      <c r="H31" s="2">
        <v>2943</v>
      </c>
      <c r="I31" s="2">
        <v>60186</v>
      </c>
      <c r="J31" s="2">
        <v>0</v>
      </c>
      <c r="K31" s="1">
        <v>42370</v>
      </c>
      <c r="L31" s="2">
        <f>SUM(Tabla1[[#This Row],[Serv. Culturales Derecho Hab Publ]:[Soci Comedores Pensionados Jubl]])</f>
        <v>292974</v>
      </c>
    </row>
    <row r="32" spans="1:12" x14ac:dyDescent="0.3">
      <c r="A32" s="2">
        <v>2013</v>
      </c>
      <c r="B32" t="s">
        <v>57</v>
      </c>
      <c r="C32" s="2">
        <v>77535</v>
      </c>
      <c r="D32" s="2">
        <v>129901</v>
      </c>
      <c r="E32" s="2">
        <v>0</v>
      </c>
      <c r="F32" s="2">
        <v>14131</v>
      </c>
      <c r="G32" s="2">
        <v>22755</v>
      </c>
      <c r="H32" s="2">
        <v>15902</v>
      </c>
      <c r="I32" s="2">
        <v>30301</v>
      </c>
      <c r="J32" s="2">
        <v>0</v>
      </c>
      <c r="K32" s="1">
        <v>41275</v>
      </c>
      <c r="L32" s="2">
        <f>SUM(Tabla1[[#This Row],[Serv. Culturales Derecho Hab Publ]:[Soci Comedores Pensionados Jubl]])</f>
        <v>290525</v>
      </c>
    </row>
    <row r="33" spans="1:12" x14ac:dyDescent="0.3">
      <c r="A33" s="2">
        <v>2018</v>
      </c>
      <c r="B33" t="s">
        <v>52</v>
      </c>
      <c r="C33" s="2">
        <v>132860</v>
      </c>
      <c r="D33" s="2">
        <v>113114</v>
      </c>
      <c r="E33" s="2">
        <v>0</v>
      </c>
      <c r="F33" s="2">
        <v>3649</v>
      </c>
      <c r="G33" s="2">
        <v>9607</v>
      </c>
      <c r="H33" s="2">
        <v>19438</v>
      </c>
      <c r="I33" s="2">
        <v>10708</v>
      </c>
      <c r="J33" s="2">
        <v>0</v>
      </c>
      <c r="K33" s="1">
        <v>43101</v>
      </c>
      <c r="L33" s="2">
        <f>SUM(Tabla1[[#This Row],[Serv. Culturales Derecho Hab Publ]:[Soci Comedores Pensionados Jubl]])</f>
        <v>289376</v>
      </c>
    </row>
    <row r="34" spans="1:12" x14ac:dyDescent="0.3">
      <c r="A34" s="2">
        <v>2017</v>
      </c>
      <c r="B34" t="s">
        <v>52</v>
      </c>
      <c r="C34" s="2">
        <v>145522</v>
      </c>
      <c r="D34" s="2">
        <v>94954</v>
      </c>
      <c r="E34" s="2">
        <v>0</v>
      </c>
      <c r="F34" s="2">
        <v>4230</v>
      </c>
      <c r="G34" s="2">
        <v>6760</v>
      </c>
      <c r="H34" s="2">
        <v>18840</v>
      </c>
      <c r="I34" s="2">
        <v>10723</v>
      </c>
      <c r="J34" s="2">
        <v>0</v>
      </c>
      <c r="K34" s="1">
        <v>42736</v>
      </c>
      <c r="L34" s="2">
        <f>SUM(Tabla1[[#This Row],[Serv. Culturales Derecho Hab Publ]:[Soci Comedores Pensionados Jubl]])</f>
        <v>281029</v>
      </c>
    </row>
    <row r="35" spans="1:12" x14ac:dyDescent="0.3">
      <c r="A35" s="2">
        <v>2015</v>
      </c>
      <c r="B35" t="s">
        <v>59</v>
      </c>
      <c r="C35" s="2">
        <v>113765</v>
      </c>
      <c r="D35" s="2">
        <v>109969</v>
      </c>
      <c r="E35" s="2">
        <v>0</v>
      </c>
      <c r="F35" s="2">
        <v>2363</v>
      </c>
      <c r="G35" s="2">
        <v>2813</v>
      </c>
      <c r="H35" s="2">
        <v>19039</v>
      </c>
      <c r="I35" s="2">
        <v>32298</v>
      </c>
      <c r="J35" s="2">
        <v>0</v>
      </c>
      <c r="K35" s="1">
        <v>42005</v>
      </c>
      <c r="L35" s="2">
        <f>SUM(Tabla1[[#This Row],[Serv. Culturales Derecho Hab Publ]:[Soci Comedores Pensionados Jubl]])</f>
        <v>280247</v>
      </c>
    </row>
    <row r="36" spans="1:12" x14ac:dyDescent="0.3">
      <c r="A36" s="2">
        <v>2013</v>
      </c>
      <c r="B36" t="s">
        <v>56</v>
      </c>
      <c r="C36" s="2">
        <v>110241</v>
      </c>
      <c r="D36" s="2">
        <v>127344</v>
      </c>
      <c r="E36" s="2">
        <v>0</v>
      </c>
      <c r="F36" s="2">
        <v>6436</v>
      </c>
      <c r="G36" s="2">
        <v>2112</v>
      </c>
      <c r="H36" s="2">
        <v>22831</v>
      </c>
      <c r="I36" s="2">
        <v>9457</v>
      </c>
      <c r="J36" s="2">
        <v>0</v>
      </c>
      <c r="K36" s="1">
        <v>41275</v>
      </c>
      <c r="L36" s="2">
        <f>SUM(Tabla1[[#This Row],[Serv. Culturales Derecho Hab Publ]:[Soci Comedores Pensionados Jubl]])</f>
        <v>278421</v>
      </c>
    </row>
    <row r="37" spans="1:12" x14ac:dyDescent="0.3">
      <c r="A37" s="2">
        <v>2019</v>
      </c>
      <c r="B37" t="s">
        <v>23</v>
      </c>
      <c r="C37" s="2">
        <v>123350</v>
      </c>
      <c r="D37" s="2">
        <v>92540</v>
      </c>
      <c r="E37" s="2">
        <v>0</v>
      </c>
      <c r="F37" s="2">
        <v>439</v>
      </c>
      <c r="G37" s="2">
        <v>32044</v>
      </c>
      <c r="H37" s="2">
        <v>13730</v>
      </c>
      <c r="I37" s="2">
        <v>10761</v>
      </c>
      <c r="J37" s="2">
        <v>0</v>
      </c>
      <c r="K37" s="1">
        <v>43466</v>
      </c>
      <c r="L37" s="2">
        <f>SUM(Tabla1[[#This Row],[Serv. Culturales Derecho Hab Publ]:[Soci Comedores Pensionados Jubl]])</f>
        <v>272864</v>
      </c>
    </row>
    <row r="38" spans="1:12" x14ac:dyDescent="0.3">
      <c r="A38" s="2">
        <v>2017</v>
      </c>
      <c r="B38" t="s">
        <v>53</v>
      </c>
      <c r="C38" s="2">
        <v>85815</v>
      </c>
      <c r="D38" s="2">
        <v>137343</v>
      </c>
      <c r="E38" s="2">
        <v>0</v>
      </c>
      <c r="F38" s="2">
        <v>9983</v>
      </c>
      <c r="G38" s="2">
        <v>5769</v>
      </c>
      <c r="H38" s="2">
        <v>17689</v>
      </c>
      <c r="I38" s="2">
        <v>13474</v>
      </c>
      <c r="J38" s="2">
        <v>0</v>
      </c>
      <c r="K38" s="1">
        <v>42736</v>
      </c>
      <c r="L38" s="2">
        <f>SUM(Tabla1[[#This Row],[Serv. Culturales Derecho Hab Publ]:[Soci Comedores Pensionados Jubl]])</f>
        <v>270073</v>
      </c>
    </row>
    <row r="39" spans="1:12" x14ac:dyDescent="0.3">
      <c r="A39" s="2">
        <v>2015</v>
      </c>
      <c r="B39" t="s">
        <v>51</v>
      </c>
      <c r="C39" s="2">
        <v>137489</v>
      </c>
      <c r="D39" s="2">
        <v>73184</v>
      </c>
      <c r="E39" s="2">
        <v>0</v>
      </c>
      <c r="F39" s="2">
        <v>131</v>
      </c>
      <c r="G39" s="2">
        <v>18376</v>
      </c>
      <c r="H39" s="2">
        <v>12062</v>
      </c>
      <c r="I39" s="2">
        <v>25933</v>
      </c>
      <c r="J39" s="2">
        <v>0</v>
      </c>
      <c r="K39" s="1">
        <v>42005</v>
      </c>
      <c r="L39" s="2">
        <f>SUM(Tabla1[[#This Row],[Serv. Culturales Derecho Hab Publ]:[Soci Comedores Pensionados Jubl]])</f>
        <v>267175</v>
      </c>
    </row>
    <row r="40" spans="1:12" x14ac:dyDescent="0.3">
      <c r="A40" s="2">
        <v>2017</v>
      </c>
      <c r="B40" t="s">
        <v>23</v>
      </c>
      <c r="C40" s="2">
        <v>121744</v>
      </c>
      <c r="D40" s="2">
        <v>97592</v>
      </c>
      <c r="E40" s="2">
        <v>0</v>
      </c>
      <c r="F40" s="2">
        <v>424</v>
      </c>
      <c r="G40" s="2">
        <v>20491</v>
      </c>
      <c r="H40" s="2">
        <v>16167</v>
      </c>
      <c r="I40" s="2">
        <v>9836</v>
      </c>
      <c r="J40" s="2">
        <v>0</v>
      </c>
      <c r="K40" s="1">
        <v>42736</v>
      </c>
      <c r="L40" s="2">
        <f>SUM(Tabla1[[#This Row],[Serv. Culturales Derecho Hab Publ]:[Soci Comedores Pensionados Jubl]])</f>
        <v>266254</v>
      </c>
    </row>
    <row r="41" spans="1:12" x14ac:dyDescent="0.3">
      <c r="A41" s="2">
        <v>2014</v>
      </c>
      <c r="B41" t="s">
        <v>56</v>
      </c>
      <c r="C41" s="2">
        <v>101457</v>
      </c>
      <c r="D41" s="2">
        <v>125658</v>
      </c>
      <c r="E41" s="2">
        <v>0</v>
      </c>
      <c r="F41" s="2">
        <v>5677</v>
      </c>
      <c r="G41" s="2">
        <v>3537</v>
      </c>
      <c r="H41" s="2">
        <v>22392</v>
      </c>
      <c r="I41" s="2">
        <v>7219</v>
      </c>
      <c r="J41" s="2">
        <v>0</v>
      </c>
      <c r="K41" s="1">
        <v>41640</v>
      </c>
      <c r="L41" s="2">
        <f>SUM(Tabla1[[#This Row],[Serv. Culturales Derecho Hab Publ]:[Soci Comedores Pensionados Jubl]])</f>
        <v>265940</v>
      </c>
    </row>
    <row r="42" spans="1:12" x14ac:dyDescent="0.3">
      <c r="A42" s="2">
        <v>2019</v>
      </c>
      <c r="B42" t="s">
        <v>46</v>
      </c>
      <c r="C42" s="2">
        <v>205948</v>
      </c>
      <c r="D42" s="2">
        <v>31890</v>
      </c>
      <c r="E42" s="2">
        <v>0</v>
      </c>
      <c r="F42" s="2">
        <v>2782</v>
      </c>
      <c r="G42" s="2">
        <v>7155</v>
      </c>
      <c r="H42" s="2">
        <v>4994</v>
      </c>
      <c r="I42" s="2">
        <v>12312</v>
      </c>
      <c r="J42" s="2">
        <v>0</v>
      </c>
      <c r="K42" s="1">
        <v>43466</v>
      </c>
      <c r="L42" s="2">
        <f>SUM(Tabla1[[#This Row],[Serv. Culturales Derecho Hab Publ]:[Soci Comedores Pensionados Jubl]])</f>
        <v>265081</v>
      </c>
    </row>
    <row r="43" spans="1:12" x14ac:dyDescent="0.3">
      <c r="A43" s="2">
        <v>2014</v>
      </c>
      <c r="B43" t="s">
        <v>51</v>
      </c>
      <c r="C43" s="2">
        <v>136792</v>
      </c>
      <c r="D43" s="2">
        <v>73402</v>
      </c>
      <c r="E43" s="2">
        <v>0</v>
      </c>
      <c r="F43" s="2">
        <v>86</v>
      </c>
      <c r="G43" s="2">
        <v>19708</v>
      </c>
      <c r="H43" s="2">
        <v>13766</v>
      </c>
      <c r="I43" s="2">
        <v>16785</v>
      </c>
      <c r="J43" s="2">
        <v>0</v>
      </c>
      <c r="K43" s="1">
        <v>41640</v>
      </c>
      <c r="L43" s="2">
        <f>SUM(Tabla1[[#This Row],[Serv. Culturales Derecho Hab Publ]:[Soci Comedores Pensionados Jubl]])</f>
        <v>260539</v>
      </c>
    </row>
    <row r="44" spans="1:12" x14ac:dyDescent="0.3">
      <c r="A44" s="2">
        <v>2018</v>
      </c>
      <c r="B44" t="s">
        <v>23</v>
      </c>
      <c r="C44" s="2">
        <v>121960</v>
      </c>
      <c r="D44" s="2">
        <v>94515</v>
      </c>
      <c r="E44" s="2">
        <v>0</v>
      </c>
      <c r="F44" s="2">
        <v>439</v>
      </c>
      <c r="G44" s="2">
        <v>11412</v>
      </c>
      <c r="H44" s="2">
        <v>17502</v>
      </c>
      <c r="I44" s="2">
        <v>10990</v>
      </c>
      <c r="J44" s="2">
        <v>0</v>
      </c>
      <c r="K44" s="1">
        <v>43101</v>
      </c>
      <c r="L44" s="2">
        <f>SUM(Tabla1[[#This Row],[Serv. Culturales Derecho Hab Publ]:[Soci Comedores Pensionados Jubl]])</f>
        <v>256818</v>
      </c>
    </row>
    <row r="45" spans="1:12" x14ac:dyDescent="0.3">
      <c r="A45" s="2">
        <v>2013</v>
      </c>
      <c r="B45" t="s">
        <v>50</v>
      </c>
      <c r="C45" s="2">
        <v>163205</v>
      </c>
      <c r="D45" s="2">
        <v>67299</v>
      </c>
      <c r="E45" s="2">
        <v>0</v>
      </c>
      <c r="F45" s="2">
        <v>60</v>
      </c>
      <c r="G45" s="2">
        <v>9984</v>
      </c>
      <c r="H45" s="2">
        <v>6535</v>
      </c>
      <c r="I45" s="2">
        <v>8847</v>
      </c>
      <c r="J45" s="2">
        <v>0</v>
      </c>
      <c r="K45" s="1">
        <v>41275</v>
      </c>
      <c r="L45" s="2">
        <f>SUM(Tabla1[[#This Row],[Serv. Culturales Derecho Hab Publ]:[Soci Comedores Pensionados Jubl]])</f>
        <v>255930</v>
      </c>
    </row>
    <row r="46" spans="1:12" x14ac:dyDescent="0.3">
      <c r="A46" s="2">
        <v>2014</v>
      </c>
      <c r="B46" t="s">
        <v>57</v>
      </c>
      <c r="C46" s="2">
        <v>88242</v>
      </c>
      <c r="D46" s="2">
        <v>109103</v>
      </c>
      <c r="E46" s="2">
        <v>0</v>
      </c>
      <c r="F46" s="2">
        <v>13462</v>
      </c>
      <c r="G46" s="2">
        <v>17024</v>
      </c>
      <c r="H46" s="2">
        <v>14006</v>
      </c>
      <c r="I46" s="2">
        <v>12098</v>
      </c>
      <c r="J46" s="2">
        <v>0</v>
      </c>
      <c r="K46" s="1">
        <v>41640</v>
      </c>
      <c r="L46" s="2">
        <f>SUM(Tabla1[[#This Row],[Serv. Culturales Derecho Hab Publ]:[Soci Comedores Pensionados Jubl]])</f>
        <v>253935</v>
      </c>
    </row>
    <row r="47" spans="1:12" x14ac:dyDescent="0.3">
      <c r="A47" s="2">
        <v>2015</v>
      </c>
      <c r="B47" t="s">
        <v>23</v>
      </c>
      <c r="C47" s="2">
        <v>119575</v>
      </c>
      <c r="D47" s="2">
        <v>88408</v>
      </c>
      <c r="E47" s="2">
        <v>0</v>
      </c>
      <c r="F47" s="2">
        <v>370</v>
      </c>
      <c r="G47" s="2">
        <v>12570</v>
      </c>
      <c r="H47" s="2">
        <v>12320</v>
      </c>
      <c r="I47" s="2">
        <v>15353</v>
      </c>
      <c r="J47" s="2">
        <v>0</v>
      </c>
      <c r="K47" s="1">
        <v>42005</v>
      </c>
      <c r="L47" s="2">
        <f>SUM(Tabla1[[#This Row],[Serv. Culturales Derecho Hab Publ]:[Soci Comedores Pensionados Jubl]])</f>
        <v>248596</v>
      </c>
    </row>
    <row r="48" spans="1:12" x14ac:dyDescent="0.3">
      <c r="A48" s="2">
        <v>2014</v>
      </c>
      <c r="B48" t="s">
        <v>23</v>
      </c>
      <c r="C48" s="2">
        <v>120190</v>
      </c>
      <c r="D48" s="2">
        <v>89439</v>
      </c>
      <c r="E48" s="2">
        <v>0</v>
      </c>
      <c r="F48" s="2">
        <v>407</v>
      </c>
      <c r="G48" s="2">
        <v>13137</v>
      </c>
      <c r="H48" s="2">
        <v>12281</v>
      </c>
      <c r="I48" s="2">
        <v>10115</v>
      </c>
      <c r="J48" s="2">
        <v>0</v>
      </c>
      <c r="K48" s="1">
        <v>41640</v>
      </c>
      <c r="L48" s="2">
        <f>SUM(Tabla1[[#This Row],[Serv. Culturales Derecho Hab Publ]:[Soci Comedores Pensionados Jubl]])</f>
        <v>245569</v>
      </c>
    </row>
    <row r="49" spans="1:12" x14ac:dyDescent="0.3">
      <c r="A49" s="2">
        <v>2013</v>
      </c>
      <c r="B49" t="s">
        <v>23</v>
      </c>
      <c r="C49" s="2">
        <v>116532</v>
      </c>
      <c r="D49" s="2">
        <v>88862</v>
      </c>
      <c r="E49" s="2">
        <v>0</v>
      </c>
      <c r="F49" s="2">
        <v>433</v>
      </c>
      <c r="G49" s="2">
        <v>6881</v>
      </c>
      <c r="H49" s="2">
        <v>14260</v>
      </c>
      <c r="I49" s="2">
        <v>10674</v>
      </c>
      <c r="J49" s="2">
        <v>0</v>
      </c>
      <c r="K49" s="1">
        <v>41275</v>
      </c>
      <c r="L49" s="2">
        <f>SUM(Tabla1[[#This Row],[Serv. Culturales Derecho Hab Publ]:[Soci Comedores Pensionados Jubl]])</f>
        <v>237642</v>
      </c>
    </row>
    <row r="50" spans="1:12" x14ac:dyDescent="0.3">
      <c r="A50" s="2">
        <v>2018</v>
      </c>
      <c r="B50" t="s">
        <v>53</v>
      </c>
      <c r="C50" s="2">
        <v>66922</v>
      </c>
      <c r="D50" s="2">
        <v>122890</v>
      </c>
      <c r="E50" s="2">
        <v>0</v>
      </c>
      <c r="F50" s="2">
        <v>9949</v>
      </c>
      <c r="G50" s="2">
        <v>6854</v>
      </c>
      <c r="H50" s="2">
        <v>11134</v>
      </c>
      <c r="I50" s="2">
        <v>18681</v>
      </c>
      <c r="J50" s="2">
        <v>0</v>
      </c>
      <c r="K50" s="1">
        <v>43101</v>
      </c>
      <c r="L50" s="2">
        <f>SUM(Tabla1[[#This Row],[Serv. Culturales Derecho Hab Publ]:[Soci Comedores Pensionados Jubl]])</f>
        <v>236430</v>
      </c>
    </row>
    <row r="51" spans="1:12" x14ac:dyDescent="0.3">
      <c r="A51" s="2">
        <v>2014</v>
      </c>
      <c r="B51" t="s">
        <v>47</v>
      </c>
      <c r="C51" s="2">
        <v>116900</v>
      </c>
      <c r="D51" s="2">
        <v>36603</v>
      </c>
      <c r="E51" s="2">
        <v>0</v>
      </c>
      <c r="F51" s="2">
        <v>219</v>
      </c>
      <c r="G51" s="2">
        <v>19217</v>
      </c>
      <c r="H51" s="2">
        <v>3402</v>
      </c>
      <c r="I51" s="2">
        <v>58349</v>
      </c>
      <c r="J51" s="2">
        <v>0</v>
      </c>
      <c r="K51" s="1">
        <v>41640</v>
      </c>
      <c r="L51" s="2">
        <f>SUM(Tabla1[[#This Row],[Serv. Culturales Derecho Hab Publ]:[Soci Comedores Pensionados Jubl]])</f>
        <v>234690</v>
      </c>
    </row>
    <row r="52" spans="1:12" x14ac:dyDescent="0.3">
      <c r="A52" s="2">
        <v>2015</v>
      </c>
      <c r="B52" t="s">
        <v>56</v>
      </c>
      <c r="C52" s="2">
        <v>91117</v>
      </c>
      <c r="D52" s="2">
        <v>105498</v>
      </c>
      <c r="E52" s="2">
        <v>0</v>
      </c>
      <c r="F52" s="2">
        <v>5450</v>
      </c>
      <c r="G52" s="2">
        <v>2730</v>
      </c>
      <c r="H52" s="2">
        <v>19350</v>
      </c>
      <c r="I52" s="2">
        <v>8193</v>
      </c>
      <c r="J52" s="2">
        <v>0</v>
      </c>
      <c r="K52" s="1">
        <v>42005</v>
      </c>
      <c r="L52" s="2">
        <f>SUM(Tabla1[[#This Row],[Serv. Culturales Derecho Hab Publ]:[Soci Comedores Pensionados Jubl]])</f>
        <v>232338</v>
      </c>
    </row>
    <row r="53" spans="1:12" x14ac:dyDescent="0.3">
      <c r="A53" s="2">
        <v>2013</v>
      </c>
      <c r="B53" t="s">
        <v>51</v>
      </c>
      <c r="C53" s="2">
        <v>115974</v>
      </c>
      <c r="D53" s="2">
        <v>68631</v>
      </c>
      <c r="E53" s="2">
        <v>0</v>
      </c>
      <c r="F53" s="2">
        <v>11</v>
      </c>
      <c r="G53" s="2">
        <v>3487</v>
      </c>
      <c r="H53" s="2">
        <v>11485</v>
      </c>
      <c r="I53" s="2">
        <v>27761</v>
      </c>
      <c r="J53" s="2">
        <v>0</v>
      </c>
      <c r="K53" s="1">
        <v>41275</v>
      </c>
      <c r="L53" s="2">
        <f>SUM(Tabla1[[#This Row],[Serv. Culturales Derecho Hab Publ]:[Soci Comedores Pensionados Jubl]])</f>
        <v>227349</v>
      </c>
    </row>
    <row r="54" spans="1:12" x14ac:dyDescent="0.3">
      <c r="A54" s="2">
        <v>2018</v>
      </c>
      <c r="B54" t="s">
        <v>10</v>
      </c>
      <c r="C54" s="2">
        <v>140786</v>
      </c>
      <c r="D54" s="2">
        <v>72045</v>
      </c>
      <c r="E54" s="2">
        <v>0</v>
      </c>
      <c r="F54" s="2">
        <v>101</v>
      </c>
      <c r="G54" s="2">
        <v>1898</v>
      </c>
      <c r="H54" s="2">
        <v>3440</v>
      </c>
      <c r="I54" s="2">
        <v>7624</v>
      </c>
      <c r="J54" s="2">
        <v>0</v>
      </c>
      <c r="K54" s="1">
        <v>43101</v>
      </c>
      <c r="L54" s="2">
        <f>SUM(Tabla1[[#This Row],[Serv. Culturales Derecho Hab Publ]:[Soci Comedores Pensionados Jubl]])</f>
        <v>225894</v>
      </c>
    </row>
    <row r="55" spans="1:12" x14ac:dyDescent="0.3">
      <c r="A55" s="2">
        <v>2017</v>
      </c>
      <c r="B55" t="s">
        <v>51</v>
      </c>
      <c r="C55" s="2">
        <v>107583</v>
      </c>
      <c r="D55" s="2">
        <v>74792</v>
      </c>
      <c r="E55" s="2">
        <v>0</v>
      </c>
      <c r="F55" s="2">
        <v>85</v>
      </c>
      <c r="G55" s="2">
        <v>15801</v>
      </c>
      <c r="H55" s="2">
        <v>15518</v>
      </c>
      <c r="I55" s="2">
        <v>11441</v>
      </c>
      <c r="J55" s="2">
        <v>0</v>
      </c>
      <c r="K55" s="1">
        <v>42736</v>
      </c>
      <c r="L55" s="2">
        <f>SUM(Tabla1[[#This Row],[Serv. Culturales Derecho Hab Publ]:[Soci Comedores Pensionados Jubl]])</f>
        <v>225220</v>
      </c>
    </row>
    <row r="56" spans="1:12" x14ac:dyDescent="0.3">
      <c r="A56" s="2">
        <v>2018</v>
      </c>
      <c r="B56" t="s">
        <v>3</v>
      </c>
      <c r="C56" s="2">
        <v>79543</v>
      </c>
      <c r="D56" s="2">
        <v>74767</v>
      </c>
      <c r="E56" s="2">
        <v>0</v>
      </c>
      <c r="F56" s="2">
        <v>36</v>
      </c>
      <c r="G56" s="2">
        <v>45159</v>
      </c>
      <c r="H56" s="2">
        <v>17750</v>
      </c>
      <c r="I56" s="2">
        <v>6397</v>
      </c>
      <c r="J56" s="2">
        <v>0</v>
      </c>
      <c r="K56" s="1">
        <v>43101</v>
      </c>
      <c r="L56" s="2">
        <f>SUM(Tabla1[[#This Row],[Serv. Culturales Derecho Hab Publ]:[Soci Comedores Pensionados Jubl]])</f>
        <v>223652</v>
      </c>
    </row>
    <row r="57" spans="1:12" x14ac:dyDescent="0.3">
      <c r="A57" s="2">
        <v>2018</v>
      </c>
      <c r="B57" t="s">
        <v>54</v>
      </c>
      <c r="C57" s="2">
        <v>38482</v>
      </c>
      <c r="D57" s="2">
        <v>94959</v>
      </c>
      <c r="E57" s="2">
        <v>0</v>
      </c>
      <c r="F57" s="2">
        <v>33</v>
      </c>
      <c r="G57" s="2">
        <v>11383</v>
      </c>
      <c r="H57" s="2">
        <v>56269</v>
      </c>
      <c r="I57" s="2">
        <v>19063</v>
      </c>
      <c r="J57" s="2">
        <v>0</v>
      </c>
      <c r="K57" s="1">
        <v>43101</v>
      </c>
      <c r="L57" s="2">
        <f>SUM(Tabla1[[#This Row],[Serv. Culturales Derecho Hab Publ]:[Soci Comedores Pensionados Jubl]])</f>
        <v>220189</v>
      </c>
    </row>
    <row r="58" spans="1:12" x14ac:dyDescent="0.3">
      <c r="A58" s="2">
        <v>2019</v>
      </c>
      <c r="B58" t="s">
        <v>3</v>
      </c>
      <c r="C58" s="2">
        <v>80616</v>
      </c>
      <c r="D58" s="2">
        <v>74648</v>
      </c>
      <c r="E58" s="2">
        <v>0</v>
      </c>
      <c r="F58" s="2">
        <v>28</v>
      </c>
      <c r="G58" s="2">
        <v>40751</v>
      </c>
      <c r="H58" s="2">
        <v>15194</v>
      </c>
      <c r="I58" s="2">
        <v>7592</v>
      </c>
      <c r="J58" s="2">
        <v>0</v>
      </c>
      <c r="K58" s="1">
        <v>43466</v>
      </c>
      <c r="L58" s="2">
        <f>SUM(Tabla1[[#This Row],[Serv. Culturales Derecho Hab Publ]:[Soci Comedores Pensionados Jubl]])</f>
        <v>218829</v>
      </c>
    </row>
    <row r="59" spans="1:12" x14ac:dyDescent="0.3">
      <c r="A59" s="2">
        <v>2019</v>
      </c>
      <c r="B59" t="s">
        <v>10</v>
      </c>
      <c r="C59" s="2">
        <v>130797</v>
      </c>
      <c r="D59" s="2">
        <v>72759</v>
      </c>
      <c r="E59" s="2">
        <v>0</v>
      </c>
      <c r="F59" s="2">
        <v>98</v>
      </c>
      <c r="G59" s="2">
        <v>1848</v>
      </c>
      <c r="H59" s="2">
        <v>3244</v>
      </c>
      <c r="I59" s="2">
        <v>8325</v>
      </c>
      <c r="J59" s="2">
        <v>0</v>
      </c>
      <c r="K59" s="1">
        <v>43466</v>
      </c>
      <c r="L59" s="2">
        <f>SUM(Tabla1[[#This Row],[Serv. Culturales Derecho Hab Publ]:[Soci Comedores Pensionados Jubl]])</f>
        <v>217071</v>
      </c>
    </row>
    <row r="60" spans="1:12" x14ac:dyDescent="0.3">
      <c r="A60" s="2">
        <v>2014</v>
      </c>
      <c r="B60" t="s">
        <v>58</v>
      </c>
      <c r="C60" s="2">
        <v>91827</v>
      </c>
      <c r="D60" s="2">
        <v>70010</v>
      </c>
      <c r="E60" s="2">
        <v>0</v>
      </c>
      <c r="F60" s="2">
        <v>0</v>
      </c>
      <c r="G60" s="2">
        <v>10472</v>
      </c>
      <c r="H60" s="2">
        <v>25621</v>
      </c>
      <c r="I60" s="2">
        <v>16516</v>
      </c>
      <c r="J60" s="2">
        <v>0</v>
      </c>
      <c r="K60" s="1">
        <v>41640</v>
      </c>
      <c r="L60" s="2">
        <f>SUM(Tabla1[[#This Row],[Serv. Culturales Derecho Hab Publ]:[Soci Comedores Pensionados Jubl]])</f>
        <v>214446</v>
      </c>
    </row>
    <row r="61" spans="1:12" x14ac:dyDescent="0.3">
      <c r="A61" s="2">
        <v>2018</v>
      </c>
      <c r="B61" t="s">
        <v>51</v>
      </c>
      <c r="C61" s="2">
        <v>93107</v>
      </c>
      <c r="D61" s="2">
        <v>75352</v>
      </c>
      <c r="E61" s="2">
        <v>0</v>
      </c>
      <c r="F61" s="2">
        <v>92</v>
      </c>
      <c r="G61" s="2">
        <v>14637</v>
      </c>
      <c r="H61" s="2">
        <v>17458</v>
      </c>
      <c r="I61" s="2">
        <v>13794</v>
      </c>
      <c r="J61" s="2">
        <v>0</v>
      </c>
      <c r="K61" s="1">
        <v>43101</v>
      </c>
      <c r="L61" s="2">
        <f>SUM(Tabla1[[#This Row],[Serv. Culturales Derecho Hab Publ]:[Soci Comedores Pensionados Jubl]])</f>
        <v>214440</v>
      </c>
    </row>
    <row r="62" spans="1:12" x14ac:dyDescent="0.3">
      <c r="A62" s="2">
        <v>2013</v>
      </c>
      <c r="B62" t="s">
        <v>58</v>
      </c>
      <c r="C62" s="2">
        <v>116369</v>
      </c>
      <c r="D62" s="2">
        <v>67913</v>
      </c>
      <c r="E62" s="2">
        <v>0</v>
      </c>
      <c r="F62" s="2">
        <v>0</v>
      </c>
      <c r="G62" s="2">
        <v>5919</v>
      </c>
      <c r="H62" s="2">
        <v>16094</v>
      </c>
      <c r="I62" s="2">
        <v>7203</v>
      </c>
      <c r="J62" s="2">
        <v>0</v>
      </c>
      <c r="K62" s="1">
        <v>41275</v>
      </c>
      <c r="L62" s="2">
        <f>SUM(Tabla1[[#This Row],[Serv. Culturales Derecho Hab Publ]:[Soci Comedores Pensionados Jubl]])</f>
        <v>213498</v>
      </c>
    </row>
    <row r="63" spans="1:12" x14ac:dyDescent="0.3">
      <c r="A63" s="2">
        <v>2017</v>
      </c>
      <c r="B63" t="s">
        <v>3</v>
      </c>
      <c r="C63" s="2">
        <v>75566</v>
      </c>
      <c r="D63" s="2">
        <v>68053</v>
      </c>
      <c r="E63" s="2">
        <v>0</v>
      </c>
      <c r="F63" s="2">
        <v>10</v>
      </c>
      <c r="G63" s="2">
        <v>43535</v>
      </c>
      <c r="H63" s="2">
        <v>15165</v>
      </c>
      <c r="I63" s="2">
        <v>6089</v>
      </c>
      <c r="J63" s="2">
        <v>0</v>
      </c>
      <c r="K63" s="1">
        <v>42736</v>
      </c>
      <c r="L63" s="2">
        <f>SUM(Tabla1[[#This Row],[Serv. Culturales Derecho Hab Publ]:[Soci Comedores Pensionados Jubl]])</f>
        <v>208418</v>
      </c>
    </row>
    <row r="64" spans="1:12" x14ac:dyDescent="0.3">
      <c r="A64" s="2">
        <v>2019</v>
      </c>
      <c r="B64" t="s">
        <v>47</v>
      </c>
      <c r="C64" s="2">
        <v>159861</v>
      </c>
      <c r="D64" s="2">
        <v>33884</v>
      </c>
      <c r="E64" s="2">
        <v>0</v>
      </c>
      <c r="F64" s="2">
        <v>3</v>
      </c>
      <c r="G64" s="2">
        <v>4667</v>
      </c>
      <c r="H64" s="2">
        <v>5093</v>
      </c>
      <c r="I64" s="2">
        <v>4885</v>
      </c>
      <c r="J64" s="2">
        <v>0</v>
      </c>
      <c r="K64" s="1">
        <v>43466</v>
      </c>
      <c r="L64" s="2">
        <f>SUM(Tabla1[[#This Row],[Serv. Culturales Derecho Hab Publ]:[Soci Comedores Pensionados Jubl]])</f>
        <v>208393</v>
      </c>
    </row>
    <row r="65" spans="1:12" x14ac:dyDescent="0.3">
      <c r="A65" s="2">
        <v>2017</v>
      </c>
      <c r="B65" t="s">
        <v>10</v>
      </c>
      <c r="C65" s="2">
        <v>121807</v>
      </c>
      <c r="D65" s="2">
        <v>72504</v>
      </c>
      <c r="E65" s="2">
        <v>0</v>
      </c>
      <c r="F65" s="2">
        <v>81</v>
      </c>
      <c r="G65" s="2">
        <v>1583</v>
      </c>
      <c r="H65" s="2">
        <v>2427</v>
      </c>
      <c r="I65" s="2">
        <v>8543</v>
      </c>
      <c r="J65" s="2">
        <v>0</v>
      </c>
      <c r="K65" s="1">
        <v>42736</v>
      </c>
      <c r="L65" s="2">
        <f>SUM(Tabla1[[#This Row],[Serv. Culturales Derecho Hab Publ]:[Soci Comedores Pensionados Jubl]])</f>
        <v>206945</v>
      </c>
    </row>
    <row r="66" spans="1:12" x14ac:dyDescent="0.3">
      <c r="A66" s="2">
        <v>2019</v>
      </c>
      <c r="B66" t="s">
        <v>52</v>
      </c>
      <c r="C66" s="2">
        <v>127697</v>
      </c>
      <c r="D66" s="2">
        <v>48880</v>
      </c>
      <c r="E66" s="2">
        <v>0</v>
      </c>
      <c r="F66" s="2">
        <v>3751</v>
      </c>
      <c r="G66" s="2">
        <v>2787</v>
      </c>
      <c r="H66" s="2">
        <v>14430</v>
      </c>
      <c r="I66" s="2">
        <v>3094</v>
      </c>
      <c r="J66" s="2">
        <v>0</v>
      </c>
      <c r="K66" s="1">
        <v>43466</v>
      </c>
      <c r="L66" s="2">
        <f>SUM(Tabla1[[#This Row],[Serv. Culturales Derecho Hab Publ]:[Soci Comedores Pensionados Jubl]])</f>
        <v>200639</v>
      </c>
    </row>
    <row r="67" spans="1:12" x14ac:dyDescent="0.3">
      <c r="A67" s="2">
        <v>2013</v>
      </c>
      <c r="B67" t="s">
        <v>10</v>
      </c>
      <c r="C67" s="2">
        <v>111194</v>
      </c>
      <c r="D67" s="2">
        <v>79355</v>
      </c>
      <c r="E67" s="2">
        <v>0</v>
      </c>
      <c r="F67" s="2">
        <v>74</v>
      </c>
      <c r="G67" s="2">
        <v>1114</v>
      </c>
      <c r="H67" s="2">
        <v>2835</v>
      </c>
      <c r="I67" s="2">
        <v>5566</v>
      </c>
      <c r="J67" s="2">
        <v>0</v>
      </c>
      <c r="K67" s="1">
        <v>41275</v>
      </c>
      <c r="L67" s="2">
        <f>SUM(Tabla1[[#This Row],[Serv. Culturales Derecho Hab Publ]:[Soci Comedores Pensionados Jubl]])</f>
        <v>200138</v>
      </c>
    </row>
    <row r="68" spans="1:12" x14ac:dyDescent="0.3">
      <c r="A68" s="2">
        <v>2014</v>
      </c>
      <c r="B68" t="s">
        <v>10</v>
      </c>
      <c r="C68" s="2">
        <v>118420</v>
      </c>
      <c r="D68" s="2">
        <v>70442</v>
      </c>
      <c r="E68" s="2">
        <v>0</v>
      </c>
      <c r="F68" s="2">
        <v>74</v>
      </c>
      <c r="G68" s="2">
        <v>1226</v>
      </c>
      <c r="H68" s="2">
        <v>2188</v>
      </c>
      <c r="I68" s="2">
        <v>7406</v>
      </c>
      <c r="J68" s="2">
        <v>0</v>
      </c>
      <c r="K68" s="1">
        <v>41640</v>
      </c>
      <c r="L68" s="2">
        <f>SUM(Tabla1[[#This Row],[Serv. Culturales Derecho Hab Publ]:[Soci Comedores Pensionados Jubl]])</f>
        <v>199756</v>
      </c>
    </row>
    <row r="69" spans="1:12" x14ac:dyDescent="0.3">
      <c r="A69" s="2">
        <v>2015</v>
      </c>
      <c r="B69" t="s">
        <v>58</v>
      </c>
      <c r="C69" s="2">
        <v>67770</v>
      </c>
      <c r="D69" s="2">
        <v>73085</v>
      </c>
      <c r="E69" s="2">
        <v>0</v>
      </c>
      <c r="F69" s="2">
        <v>54</v>
      </c>
      <c r="G69" s="2">
        <v>12486</v>
      </c>
      <c r="H69" s="2">
        <v>37665</v>
      </c>
      <c r="I69" s="2">
        <v>5704</v>
      </c>
      <c r="J69" s="2">
        <v>0</v>
      </c>
      <c r="K69" s="1">
        <v>42005</v>
      </c>
      <c r="L69" s="2">
        <f>SUM(Tabla1[[#This Row],[Serv. Culturales Derecho Hab Publ]:[Soci Comedores Pensionados Jubl]])</f>
        <v>196764</v>
      </c>
    </row>
    <row r="70" spans="1:12" x14ac:dyDescent="0.3">
      <c r="A70" s="2">
        <v>2013</v>
      </c>
      <c r="B70" t="s">
        <v>3</v>
      </c>
      <c r="C70" s="2">
        <v>65886</v>
      </c>
      <c r="D70" s="2">
        <v>92230</v>
      </c>
      <c r="E70" s="2">
        <v>0</v>
      </c>
      <c r="F70" s="2">
        <v>4</v>
      </c>
      <c r="G70" s="2">
        <v>9635</v>
      </c>
      <c r="H70" s="2">
        <v>16641</v>
      </c>
      <c r="I70" s="2">
        <v>11413</v>
      </c>
      <c r="J70" s="2">
        <v>0</v>
      </c>
      <c r="K70" s="1">
        <v>41275</v>
      </c>
      <c r="L70" s="2">
        <f>SUM(Tabla1[[#This Row],[Serv. Culturales Derecho Hab Publ]:[Soci Comedores Pensionados Jubl]])</f>
        <v>195809</v>
      </c>
    </row>
    <row r="71" spans="1:12" x14ac:dyDescent="0.3">
      <c r="A71" s="2">
        <v>2016</v>
      </c>
      <c r="B71" t="s">
        <v>46</v>
      </c>
      <c r="C71" s="2">
        <v>176504</v>
      </c>
      <c r="D71" s="2">
        <v>0</v>
      </c>
      <c r="E71" s="2">
        <v>0</v>
      </c>
      <c r="F71" s="2">
        <v>0</v>
      </c>
      <c r="G71" s="2">
        <v>5180</v>
      </c>
      <c r="H71" s="2">
        <v>2740</v>
      </c>
      <c r="I71" s="2">
        <v>9969</v>
      </c>
      <c r="J71" s="2">
        <v>0</v>
      </c>
      <c r="K71" s="1">
        <v>42370</v>
      </c>
      <c r="L71" s="2">
        <f>SUM(Tabla1[[#This Row],[Serv. Culturales Derecho Hab Publ]:[Soci Comedores Pensionados Jubl]])</f>
        <v>194393</v>
      </c>
    </row>
    <row r="72" spans="1:12" x14ac:dyDescent="0.3">
      <c r="A72" s="2">
        <v>2013</v>
      </c>
      <c r="B72" t="s">
        <v>48</v>
      </c>
      <c r="C72" s="2">
        <v>133369</v>
      </c>
      <c r="D72" s="2">
        <v>33175</v>
      </c>
      <c r="E72" s="2">
        <v>0</v>
      </c>
      <c r="F72" s="2">
        <v>2376</v>
      </c>
      <c r="G72" s="2">
        <v>9970</v>
      </c>
      <c r="H72" s="2">
        <v>2236</v>
      </c>
      <c r="I72" s="2">
        <v>11513</v>
      </c>
      <c r="J72" s="2">
        <v>0</v>
      </c>
      <c r="K72" s="1">
        <v>41275</v>
      </c>
      <c r="L72" s="2">
        <f>SUM(Tabla1[[#This Row],[Serv. Culturales Derecho Hab Publ]:[Soci Comedores Pensionados Jubl]])</f>
        <v>192639</v>
      </c>
    </row>
    <row r="73" spans="1:12" x14ac:dyDescent="0.3">
      <c r="A73" s="2">
        <v>2015</v>
      </c>
      <c r="B73" t="s">
        <v>10</v>
      </c>
      <c r="C73" s="2">
        <v>106996</v>
      </c>
      <c r="D73" s="2">
        <v>71296</v>
      </c>
      <c r="E73" s="2">
        <v>0</v>
      </c>
      <c r="F73" s="2">
        <v>58</v>
      </c>
      <c r="G73" s="2">
        <v>1319</v>
      </c>
      <c r="H73" s="2">
        <v>1748</v>
      </c>
      <c r="I73" s="2">
        <v>9879</v>
      </c>
      <c r="J73" s="2">
        <v>0</v>
      </c>
      <c r="K73" s="1">
        <v>42005</v>
      </c>
      <c r="L73" s="2">
        <f>SUM(Tabla1[[#This Row],[Serv. Culturales Derecho Hab Publ]:[Soci Comedores Pensionados Jubl]])</f>
        <v>191296</v>
      </c>
    </row>
    <row r="74" spans="1:12" x14ac:dyDescent="0.3">
      <c r="A74" s="2">
        <v>2013</v>
      </c>
      <c r="B74" t="s">
        <v>21</v>
      </c>
      <c r="C74" s="2">
        <v>132736</v>
      </c>
      <c r="D74" s="2">
        <v>25324</v>
      </c>
      <c r="E74" s="2">
        <v>0</v>
      </c>
      <c r="F74" s="2">
        <v>78</v>
      </c>
      <c r="G74" s="2">
        <v>7757</v>
      </c>
      <c r="H74" s="2">
        <v>2796</v>
      </c>
      <c r="I74" s="2">
        <v>21951</v>
      </c>
      <c r="J74" s="2">
        <v>0</v>
      </c>
      <c r="K74" s="1">
        <v>41275</v>
      </c>
      <c r="L74" s="2">
        <f>SUM(Tabla1[[#This Row],[Serv. Culturales Derecho Hab Publ]:[Soci Comedores Pensionados Jubl]])</f>
        <v>190642</v>
      </c>
    </row>
    <row r="75" spans="1:12" x14ac:dyDescent="0.3">
      <c r="A75" s="2">
        <v>2019</v>
      </c>
      <c r="B75" t="s">
        <v>7</v>
      </c>
      <c r="C75" s="2">
        <v>100926</v>
      </c>
      <c r="D75" s="2">
        <v>46468</v>
      </c>
      <c r="E75" s="2">
        <v>0</v>
      </c>
      <c r="F75" s="2">
        <v>73</v>
      </c>
      <c r="G75" s="2">
        <v>22368</v>
      </c>
      <c r="H75" s="2">
        <v>13140</v>
      </c>
      <c r="I75" s="2">
        <v>7245</v>
      </c>
      <c r="J75" s="2">
        <v>0</v>
      </c>
      <c r="K75" s="1">
        <v>43466</v>
      </c>
      <c r="L75" s="2">
        <f>SUM(Tabla1[[#This Row],[Serv. Culturales Derecho Hab Publ]:[Soci Comedores Pensionados Jubl]])</f>
        <v>190220</v>
      </c>
    </row>
    <row r="76" spans="1:12" x14ac:dyDescent="0.3">
      <c r="A76" s="2">
        <v>2018</v>
      </c>
      <c r="B76" t="s">
        <v>7</v>
      </c>
      <c r="C76" s="2">
        <v>98725</v>
      </c>
      <c r="D76" s="2">
        <v>44913</v>
      </c>
      <c r="E76" s="2">
        <v>0</v>
      </c>
      <c r="F76" s="2">
        <v>84</v>
      </c>
      <c r="G76" s="2">
        <v>21983</v>
      </c>
      <c r="H76" s="2">
        <v>12680</v>
      </c>
      <c r="I76" s="2">
        <v>11056</v>
      </c>
      <c r="J76" s="2">
        <v>0</v>
      </c>
      <c r="K76" s="1">
        <v>43101</v>
      </c>
      <c r="L76" s="2">
        <f>SUM(Tabla1[[#This Row],[Serv. Culturales Derecho Hab Publ]:[Soci Comedores Pensionados Jubl]])</f>
        <v>189441</v>
      </c>
    </row>
    <row r="77" spans="1:12" x14ac:dyDescent="0.3">
      <c r="A77" s="2">
        <v>2015</v>
      </c>
      <c r="B77" t="s">
        <v>47</v>
      </c>
      <c r="C77" s="2">
        <v>67161</v>
      </c>
      <c r="D77" s="2">
        <v>29015</v>
      </c>
      <c r="E77" s="2">
        <v>0</v>
      </c>
      <c r="F77" s="2">
        <v>0</v>
      </c>
      <c r="G77" s="2">
        <v>32440</v>
      </c>
      <c r="H77" s="2">
        <v>2094</v>
      </c>
      <c r="I77" s="2">
        <v>58308</v>
      </c>
      <c r="J77" s="2">
        <v>0</v>
      </c>
      <c r="K77" s="1">
        <v>42005</v>
      </c>
      <c r="L77" s="2">
        <f>SUM(Tabla1[[#This Row],[Serv. Culturales Derecho Hab Publ]:[Soci Comedores Pensionados Jubl]])</f>
        <v>189018</v>
      </c>
    </row>
    <row r="78" spans="1:12" x14ac:dyDescent="0.3">
      <c r="A78" s="2">
        <v>2016</v>
      </c>
      <c r="B78" t="s">
        <v>50</v>
      </c>
      <c r="C78" s="2">
        <v>162819</v>
      </c>
      <c r="D78" s="2">
        <v>0</v>
      </c>
      <c r="E78" s="2">
        <v>0</v>
      </c>
      <c r="F78" s="2">
        <v>0</v>
      </c>
      <c r="G78" s="2">
        <v>6998</v>
      </c>
      <c r="H78" s="2">
        <v>10099</v>
      </c>
      <c r="I78" s="2">
        <v>6811</v>
      </c>
      <c r="J78" s="2">
        <v>0</v>
      </c>
      <c r="K78" s="1">
        <v>42370</v>
      </c>
      <c r="L78" s="2">
        <f>SUM(Tabla1[[#This Row],[Serv. Culturales Derecho Hab Publ]:[Soci Comedores Pensionados Jubl]])</f>
        <v>186727</v>
      </c>
    </row>
    <row r="79" spans="1:12" x14ac:dyDescent="0.3">
      <c r="A79" s="2">
        <v>2014</v>
      </c>
      <c r="B79" t="s">
        <v>2</v>
      </c>
      <c r="C79" s="2">
        <v>87248</v>
      </c>
      <c r="D79" s="2">
        <v>75096</v>
      </c>
      <c r="E79" s="2">
        <v>0</v>
      </c>
      <c r="F79" s="2">
        <v>77</v>
      </c>
      <c r="G79" s="2">
        <v>6429</v>
      </c>
      <c r="H79" s="2">
        <v>5351</v>
      </c>
      <c r="I79" s="2">
        <v>10574</v>
      </c>
      <c r="J79" s="2">
        <v>0</v>
      </c>
      <c r="K79" s="1">
        <v>41640</v>
      </c>
      <c r="L79" s="2">
        <f>SUM(Tabla1[[#This Row],[Serv. Culturales Derecho Hab Publ]:[Soci Comedores Pensionados Jubl]])</f>
        <v>184775</v>
      </c>
    </row>
    <row r="80" spans="1:12" x14ac:dyDescent="0.3">
      <c r="A80" s="2">
        <v>2014</v>
      </c>
      <c r="B80" t="s">
        <v>6</v>
      </c>
      <c r="C80" s="2">
        <v>92443</v>
      </c>
      <c r="D80" s="2">
        <v>73046</v>
      </c>
      <c r="E80" s="2">
        <v>0</v>
      </c>
      <c r="F80" s="2">
        <v>240</v>
      </c>
      <c r="G80" s="2">
        <v>11127</v>
      </c>
      <c r="H80" s="2">
        <v>3363</v>
      </c>
      <c r="I80" s="2">
        <v>4237</v>
      </c>
      <c r="J80" s="2">
        <v>0</v>
      </c>
      <c r="K80" s="1">
        <v>41640</v>
      </c>
      <c r="L80" s="2">
        <f>SUM(Tabla1[[#This Row],[Serv. Culturales Derecho Hab Publ]:[Soci Comedores Pensionados Jubl]])</f>
        <v>184456</v>
      </c>
    </row>
    <row r="81" spans="1:12" x14ac:dyDescent="0.3">
      <c r="A81" s="2">
        <v>2019</v>
      </c>
      <c r="B81" t="s">
        <v>54</v>
      </c>
      <c r="C81" s="2">
        <v>25401</v>
      </c>
      <c r="D81" s="2">
        <v>87897</v>
      </c>
      <c r="E81" s="2">
        <v>0</v>
      </c>
      <c r="F81" s="2">
        <v>30</v>
      </c>
      <c r="G81" s="2">
        <v>9439</v>
      </c>
      <c r="H81" s="2">
        <v>49834</v>
      </c>
      <c r="I81" s="2">
        <v>9752</v>
      </c>
      <c r="J81" s="2">
        <v>0</v>
      </c>
      <c r="K81" s="1">
        <v>43466</v>
      </c>
      <c r="L81" s="2">
        <f>SUM(Tabla1[[#This Row],[Serv. Culturales Derecho Hab Publ]:[Soci Comedores Pensionados Jubl]])</f>
        <v>182353</v>
      </c>
    </row>
    <row r="82" spans="1:12" x14ac:dyDescent="0.3">
      <c r="A82" s="2">
        <v>2018</v>
      </c>
      <c r="B82" t="s">
        <v>19</v>
      </c>
      <c r="C82" s="2">
        <v>116693</v>
      </c>
      <c r="D82" s="2">
        <v>27354</v>
      </c>
      <c r="E82" s="2">
        <v>0</v>
      </c>
      <c r="F82" s="2">
        <v>117</v>
      </c>
      <c r="G82" s="2">
        <v>5760</v>
      </c>
      <c r="H82" s="2">
        <v>8280</v>
      </c>
      <c r="I82" s="2">
        <v>22470</v>
      </c>
      <c r="J82" s="2">
        <v>0</v>
      </c>
      <c r="K82" s="1">
        <v>43101</v>
      </c>
      <c r="L82" s="2">
        <f>SUM(Tabla1[[#This Row],[Serv. Culturales Derecho Hab Publ]:[Soci Comedores Pensionados Jubl]])</f>
        <v>180674</v>
      </c>
    </row>
    <row r="83" spans="1:12" x14ac:dyDescent="0.3">
      <c r="A83" s="2">
        <v>2017</v>
      </c>
      <c r="B83" t="s">
        <v>2</v>
      </c>
      <c r="C83" s="2">
        <v>76202</v>
      </c>
      <c r="D83" s="2">
        <v>75016</v>
      </c>
      <c r="E83" s="2">
        <v>0</v>
      </c>
      <c r="F83" s="2">
        <v>71</v>
      </c>
      <c r="G83" s="2">
        <v>6956</v>
      </c>
      <c r="H83" s="2">
        <v>5394</v>
      </c>
      <c r="I83" s="2">
        <v>16876</v>
      </c>
      <c r="J83" s="2">
        <v>0</v>
      </c>
      <c r="K83" s="1">
        <v>42736</v>
      </c>
      <c r="L83" s="2">
        <f>SUM(Tabla1[[#This Row],[Serv. Culturales Derecho Hab Publ]:[Soci Comedores Pensionados Jubl]])</f>
        <v>180515</v>
      </c>
    </row>
    <row r="84" spans="1:12" x14ac:dyDescent="0.3">
      <c r="A84" s="2">
        <v>2017</v>
      </c>
      <c r="B84" t="s">
        <v>6</v>
      </c>
      <c r="C84" s="2">
        <v>79465</v>
      </c>
      <c r="D84" s="2">
        <v>71098</v>
      </c>
      <c r="E84" s="2">
        <v>0</v>
      </c>
      <c r="F84" s="2">
        <v>180</v>
      </c>
      <c r="G84" s="2">
        <v>13584</v>
      </c>
      <c r="H84" s="2">
        <v>3363</v>
      </c>
      <c r="I84" s="2">
        <v>11802</v>
      </c>
      <c r="J84" s="2">
        <v>0</v>
      </c>
      <c r="K84" s="1">
        <v>42736</v>
      </c>
      <c r="L84" s="2">
        <f>SUM(Tabla1[[#This Row],[Serv. Culturales Derecho Hab Publ]:[Soci Comedores Pensionados Jubl]])</f>
        <v>179492</v>
      </c>
    </row>
    <row r="85" spans="1:12" x14ac:dyDescent="0.3">
      <c r="A85" s="2">
        <v>2013</v>
      </c>
      <c r="B85" t="s">
        <v>2</v>
      </c>
      <c r="C85" s="2">
        <v>85376</v>
      </c>
      <c r="D85" s="2">
        <v>71675</v>
      </c>
      <c r="E85" s="2">
        <v>0</v>
      </c>
      <c r="F85" s="2">
        <v>82</v>
      </c>
      <c r="G85" s="2">
        <v>5583</v>
      </c>
      <c r="H85" s="2">
        <v>5330</v>
      </c>
      <c r="I85" s="2">
        <v>10283</v>
      </c>
      <c r="J85" s="2">
        <v>0</v>
      </c>
      <c r="K85" s="1">
        <v>41275</v>
      </c>
      <c r="L85" s="2">
        <f>SUM(Tabla1[[#This Row],[Serv. Culturales Derecho Hab Publ]:[Soci Comedores Pensionados Jubl]])</f>
        <v>178329</v>
      </c>
    </row>
    <row r="86" spans="1:12" x14ac:dyDescent="0.3">
      <c r="A86" s="2">
        <v>2019</v>
      </c>
      <c r="B86" t="s">
        <v>48</v>
      </c>
      <c r="C86" s="2">
        <v>98414</v>
      </c>
      <c r="D86" s="2">
        <v>65121</v>
      </c>
      <c r="E86" s="2">
        <v>0</v>
      </c>
      <c r="F86" s="2">
        <v>1797</v>
      </c>
      <c r="G86" s="2">
        <v>2517</v>
      </c>
      <c r="H86" s="2">
        <v>4241</v>
      </c>
      <c r="I86" s="2">
        <v>5790</v>
      </c>
      <c r="J86" s="2">
        <v>0</v>
      </c>
      <c r="K86" s="1">
        <v>43466</v>
      </c>
      <c r="L86" s="2">
        <f>SUM(Tabla1[[#This Row],[Serv. Culturales Derecho Hab Publ]:[Soci Comedores Pensionados Jubl]])</f>
        <v>177880</v>
      </c>
    </row>
    <row r="87" spans="1:12" x14ac:dyDescent="0.3">
      <c r="A87" s="2">
        <v>2015</v>
      </c>
      <c r="B87" t="s">
        <v>48</v>
      </c>
      <c r="C87" s="2">
        <v>114666</v>
      </c>
      <c r="D87" s="2">
        <v>34915</v>
      </c>
      <c r="E87" s="2">
        <v>0</v>
      </c>
      <c r="F87" s="2">
        <v>2745</v>
      </c>
      <c r="G87" s="2">
        <v>10644</v>
      </c>
      <c r="H87" s="2">
        <v>2371</v>
      </c>
      <c r="I87" s="2">
        <v>11766</v>
      </c>
      <c r="J87" s="2">
        <v>0</v>
      </c>
      <c r="K87" s="1">
        <v>42005</v>
      </c>
      <c r="L87" s="2">
        <f>SUM(Tabla1[[#This Row],[Serv. Culturales Derecho Hab Publ]:[Soci Comedores Pensionados Jubl]])</f>
        <v>177107</v>
      </c>
    </row>
    <row r="88" spans="1:12" x14ac:dyDescent="0.3">
      <c r="A88" s="2">
        <v>2017</v>
      </c>
      <c r="B88" t="s">
        <v>7</v>
      </c>
      <c r="C88" s="2">
        <v>89897</v>
      </c>
      <c r="D88" s="2">
        <v>43832</v>
      </c>
      <c r="E88" s="2">
        <v>0</v>
      </c>
      <c r="F88" s="2">
        <v>64</v>
      </c>
      <c r="G88" s="2">
        <v>22291</v>
      </c>
      <c r="H88" s="2">
        <v>12640</v>
      </c>
      <c r="I88" s="2">
        <v>7705</v>
      </c>
      <c r="J88" s="2">
        <v>0</v>
      </c>
      <c r="K88" s="1">
        <v>42736</v>
      </c>
      <c r="L88" s="2">
        <f>SUM(Tabla1[[#This Row],[Serv. Culturales Derecho Hab Publ]:[Soci Comedores Pensionados Jubl]])</f>
        <v>176429</v>
      </c>
    </row>
    <row r="89" spans="1:12" x14ac:dyDescent="0.3">
      <c r="A89" s="2">
        <v>2013</v>
      </c>
      <c r="B89" t="s">
        <v>8</v>
      </c>
      <c r="C89" s="2">
        <v>100270</v>
      </c>
      <c r="D89" s="2">
        <v>63099</v>
      </c>
      <c r="E89" s="2">
        <v>0</v>
      </c>
      <c r="F89" s="2">
        <v>64</v>
      </c>
      <c r="G89" s="2">
        <v>1320</v>
      </c>
      <c r="H89" s="2">
        <v>2450</v>
      </c>
      <c r="I89" s="2">
        <v>7530</v>
      </c>
      <c r="J89" s="2">
        <v>0</v>
      </c>
      <c r="K89" s="1">
        <v>41275</v>
      </c>
      <c r="L89" s="2">
        <f>SUM(Tabla1[[#This Row],[Serv. Culturales Derecho Hab Publ]:[Soci Comedores Pensionados Jubl]])</f>
        <v>174733</v>
      </c>
    </row>
    <row r="90" spans="1:12" x14ac:dyDescent="0.3">
      <c r="A90" s="2">
        <v>2013</v>
      </c>
      <c r="B90" t="s">
        <v>12</v>
      </c>
      <c r="C90" s="2">
        <v>144600</v>
      </c>
      <c r="D90" s="2">
        <v>16066</v>
      </c>
      <c r="E90" s="2">
        <v>0</v>
      </c>
      <c r="F90" s="2">
        <v>53</v>
      </c>
      <c r="G90" s="2">
        <v>1487</v>
      </c>
      <c r="H90" s="2">
        <v>5015</v>
      </c>
      <c r="I90" s="2">
        <v>6422</v>
      </c>
      <c r="J90" s="2">
        <v>0</v>
      </c>
      <c r="K90" s="1">
        <v>41275</v>
      </c>
      <c r="L90" s="2">
        <f>SUM(Tabla1[[#This Row],[Serv. Culturales Derecho Hab Publ]:[Soci Comedores Pensionados Jubl]])</f>
        <v>173643</v>
      </c>
    </row>
    <row r="91" spans="1:12" x14ac:dyDescent="0.3">
      <c r="A91" s="2">
        <v>2016</v>
      </c>
      <c r="B91" t="s">
        <v>28</v>
      </c>
      <c r="C91" s="2">
        <v>145297</v>
      </c>
      <c r="D91" s="2">
        <v>0</v>
      </c>
      <c r="E91" s="2">
        <v>0</v>
      </c>
      <c r="F91" s="2">
        <v>0</v>
      </c>
      <c r="G91" s="2">
        <v>6100</v>
      </c>
      <c r="H91" s="2">
        <v>11952</v>
      </c>
      <c r="I91" s="2">
        <v>9453</v>
      </c>
      <c r="J91" s="2">
        <v>0</v>
      </c>
      <c r="K91" s="1">
        <v>42370</v>
      </c>
      <c r="L91" s="2">
        <f>SUM(Tabla1[[#This Row],[Serv. Culturales Derecho Hab Publ]:[Soci Comedores Pensionados Jubl]])</f>
        <v>172802</v>
      </c>
    </row>
    <row r="92" spans="1:12" x14ac:dyDescent="0.3">
      <c r="A92" s="2">
        <v>2014</v>
      </c>
      <c r="B92" t="s">
        <v>48</v>
      </c>
      <c r="C92" s="2">
        <v>106619</v>
      </c>
      <c r="D92" s="2">
        <v>34983</v>
      </c>
      <c r="E92" s="2">
        <v>0</v>
      </c>
      <c r="F92" s="2">
        <v>2478</v>
      </c>
      <c r="G92" s="2">
        <v>10718</v>
      </c>
      <c r="H92" s="2">
        <v>2322</v>
      </c>
      <c r="I92" s="2">
        <v>12343</v>
      </c>
      <c r="J92" s="2">
        <v>0</v>
      </c>
      <c r="K92" s="1">
        <v>41640</v>
      </c>
      <c r="L92" s="2">
        <f>SUM(Tabla1[[#This Row],[Serv. Culturales Derecho Hab Publ]:[Soci Comedores Pensionados Jubl]])</f>
        <v>169463</v>
      </c>
    </row>
    <row r="93" spans="1:12" x14ac:dyDescent="0.3">
      <c r="A93" s="2">
        <v>2015</v>
      </c>
      <c r="B93" t="s">
        <v>21</v>
      </c>
      <c r="C93" s="2">
        <v>113562</v>
      </c>
      <c r="D93" s="2">
        <v>25819</v>
      </c>
      <c r="E93" s="2">
        <v>0</v>
      </c>
      <c r="F93" s="2">
        <v>119</v>
      </c>
      <c r="G93" s="2">
        <v>8598</v>
      </c>
      <c r="H93" s="2">
        <v>2958</v>
      </c>
      <c r="I93" s="2">
        <v>17652</v>
      </c>
      <c r="J93" s="2">
        <v>0</v>
      </c>
      <c r="K93" s="1">
        <v>42005</v>
      </c>
      <c r="L93" s="2">
        <f>SUM(Tabla1[[#This Row],[Serv. Culturales Derecho Hab Publ]:[Soci Comedores Pensionados Jubl]])</f>
        <v>168708</v>
      </c>
    </row>
    <row r="94" spans="1:12" x14ac:dyDescent="0.3">
      <c r="A94" s="2">
        <v>2015</v>
      </c>
      <c r="B94" t="s">
        <v>2</v>
      </c>
      <c r="C94" s="2">
        <v>74323</v>
      </c>
      <c r="D94" s="2">
        <v>72228</v>
      </c>
      <c r="E94" s="2">
        <v>0</v>
      </c>
      <c r="F94" s="2">
        <v>79</v>
      </c>
      <c r="G94" s="2">
        <v>6690</v>
      </c>
      <c r="H94" s="2">
        <v>5373</v>
      </c>
      <c r="I94" s="2">
        <v>9586</v>
      </c>
      <c r="J94" s="2">
        <v>0</v>
      </c>
      <c r="K94" s="1">
        <v>42005</v>
      </c>
      <c r="L94" s="2">
        <f>SUM(Tabla1[[#This Row],[Serv. Culturales Derecho Hab Publ]:[Soci Comedores Pensionados Jubl]])</f>
        <v>168279</v>
      </c>
    </row>
    <row r="95" spans="1:12" x14ac:dyDescent="0.3">
      <c r="A95" s="2">
        <v>2017</v>
      </c>
      <c r="B95" t="s">
        <v>19</v>
      </c>
      <c r="C95" s="2">
        <v>101825</v>
      </c>
      <c r="D95" s="2">
        <v>32865</v>
      </c>
      <c r="E95" s="2">
        <v>0</v>
      </c>
      <c r="F95" s="2">
        <v>126</v>
      </c>
      <c r="G95" s="2">
        <v>6830</v>
      </c>
      <c r="H95" s="2">
        <v>1175</v>
      </c>
      <c r="I95" s="2">
        <v>25155</v>
      </c>
      <c r="J95" s="2">
        <v>0</v>
      </c>
      <c r="K95" s="1">
        <v>42736</v>
      </c>
      <c r="L95" s="2">
        <f>SUM(Tabla1[[#This Row],[Serv. Culturales Derecho Hab Publ]:[Soci Comedores Pensionados Jubl]])</f>
        <v>167976</v>
      </c>
    </row>
    <row r="96" spans="1:12" x14ac:dyDescent="0.3">
      <c r="A96" s="2">
        <v>2019</v>
      </c>
      <c r="B96" t="s">
        <v>4</v>
      </c>
      <c r="C96" s="2">
        <v>69491</v>
      </c>
      <c r="D96" s="2">
        <v>64789</v>
      </c>
      <c r="E96" s="2">
        <v>0</v>
      </c>
      <c r="F96" s="2">
        <v>47</v>
      </c>
      <c r="G96" s="2">
        <v>10458</v>
      </c>
      <c r="H96" s="2">
        <v>10988</v>
      </c>
      <c r="I96" s="2">
        <v>11322</v>
      </c>
      <c r="J96" s="2">
        <v>0</v>
      </c>
      <c r="K96" s="1">
        <v>43466</v>
      </c>
      <c r="L96" s="2">
        <f>SUM(Tabla1[[#This Row],[Serv. Culturales Derecho Hab Publ]:[Soci Comedores Pensionados Jubl]])</f>
        <v>167095</v>
      </c>
    </row>
    <row r="97" spans="1:12" x14ac:dyDescent="0.3">
      <c r="A97" s="2">
        <v>2017</v>
      </c>
      <c r="B97" t="s">
        <v>11</v>
      </c>
      <c r="C97" s="2">
        <v>109999</v>
      </c>
      <c r="D97" s="2">
        <v>37416</v>
      </c>
      <c r="E97" s="2">
        <v>0</v>
      </c>
      <c r="F97" s="2">
        <v>152</v>
      </c>
      <c r="G97" s="2">
        <v>7872</v>
      </c>
      <c r="H97" s="2">
        <v>3197</v>
      </c>
      <c r="I97" s="2">
        <v>7792</v>
      </c>
      <c r="J97" s="2">
        <v>0</v>
      </c>
      <c r="K97" s="1">
        <v>42736</v>
      </c>
      <c r="L97" s="2">
        <f>SUM(Tabla1[[#This Row],[Serv. Culturales Derecho Hab Publ]:[Soci Comedores Pensionados Jubl]])</f>
        <v>166428</v>
      </c>
    </row>
    <row r="98" spans="1:12" x14ac:dyDescent="0.3">
      <c r="A98" s="2">
        <v>2015</v>
      </c>
      <c r="B98" t="s">
        <v>3</v>
      </c>
      <c r="C98" s="2">
        <v>59386</v>
      </c>
      <c r="D98" s="2">
        <v>71299</v>
      </c>
      <c r="E98" s="2">
        <v>0</v>
      </c>
      <c r="F98" s="2">
        <v>18</v>
      </c>
      <c r="G98" s="2">
        <v>8350</v>
      </c>
      <c r="H98" s="2">
        <v>15877</v>
      </c>
      <c r="I98" s="2">
        <v>10336</v>
      </c>
      <c r="J98" s="2">
        <v>0</v>
      </c>
      <c r="K98" s="1">
        <v>42005</v>
      </c>
      <c r="L98" s="2">
        <f>SUM(Tabla1[[#This Row],[Serv. Culturales Derecho Hab Publ]:[Soci Comedores Pensionados Jubl]])</f>
        <v>165266</v>
      </c>
    </row>
    <row r="99" spans="1:12" x14ac:dyDescent="0.3">
      <c r="A99" s="2">
        <v>2017</v>
      </c>
      <c r="B99" t="s">
        <v>54</v>
      </c>
      <c r="C99" s="2">
        <v>34875</v>
      </c>
      <c r="D99" s="2">
        <v>78460</v>
      </c>
      <c r="E99" s="2">
        <v>0</v>
      </c>
      <c r="F99" s="2">
        <v>147</v>
      </c>
      <c r="G99" s="2">
        <v>9902</v>
      </c>
      <c r="H99" s="2">
        <v>27179</v>
      </c>
      <c r="I99" s="2">
        <v>14663</v>
      </c>
      <c r="J99" s="2">
        <v>0</v>
      </c>
      <c r="K99" s="1">
        <v>42736</v>
      </c>
      <c r="L99" s="2">
        <f>SUM(Tabla1[[#This Row],[Serv. Culturales Derecho Hab Publ]:[Soci Comedores Pensionados Jubl]])</f>
        <v>165226</v>
      </c>
    </row>
    <row r="100" spans="1:12" x14ac:dyDescent="0.3">
      <c r="A100" s="2">
        <v>2018</v>
      </c>
      <c r="B100" t="s">
        <v>11</v>
      </c>
      <c r="C100" s="2">
        <v>107142</v>
      </c>
      <c r="D100" s="2">
        <v>36706</v>
      </c>
      <c r="E100" s="2">
        <v>0</v>
      </c>
      <c r="F100" s="2">
        <v>164</v>
      </c>
      <c r="G100" s="2">
        <v>9171</v>
      </c>
      <c r="H100" s="2">
        <v>3218</v>
      </c>
      <c r="I100" s="2">
        <v>7270</v>
      </c>
      <c r="J100" s="2">
        <v>0</v>
      </c>
      <c r="K100" s="1">
        <v>43101</v>
      </c>
      <c r="L100" s="2">
        <f>SUM(Tabla1[[#This Row],[Serv. Culturales Derecho Hab Publ]:[Soci Comedores Pensionados Jubl]])</f>
        <v>163671</v>
      </c>
    </row>
    <row r="101" spans="1:12" x14ac:dyDescent="0.3">
      <c r="A101" s="2">
        <v>2015</v>
      </c>
      <c r="B101" t="s">
        <v>7</v>
      </c>
      <c r="C101" s="2">
        <v>83066</v>
      </c>
      <c r="D101" s="2">
        <v>51576</v>
      </c>
      <c r="E101" s="2">
        <v>0</v>
      </c>
      <c r="F101" s="2">
        <v>30</v>
      </c>
      <c r="G101" s="2">
        <v>8356</v>
      </c>
      <c r="H101" s="2">
        <v>10380</v>
      </c>
      <c r="I101" s="2">
        <v>9561</v>
      </c>
      <c r="J101" s="2">
        <v>0</v>
      </c>
      <c r="K101" s="1">
        <v>42005</v>
      </c>
      <c r="L101" s="2">
        <f>SUM(Tabla1[[#This Row],[Serv. Culturales Derecho Hab Publ]:[Soci Comedores Pensionados Jubl]])</f>
        <v>162969</v>
      </c>
    </row>
    <row r="102" spans="1:12" x14ac:dyDescent="0.3">
      <c r="A102" s="2">
        <v>2014</v>
      </c>
      <c r="B102" t="s">
        <v>21</v>
      </c>
      <c r="C102" s="2">
        <v>108344</v>
      </c>
      <c r="D102" s="2">
        <v>25534</v>
      </c>
      <c r="E102" s="2">
        <v>0</v>
      </c>
      <c r="F102" s="2">
        <v>115</v>
      </c>
      <c r="G102" s="2">
        <v>7377</v>
      </c>
      <c r="H102" s="2">
        <v>2826</v>
      </c>
      <c r="I102" s="2">
        <v>18713</v>
      </c>
      <c r="J102" s="2">
        <v>0</v>
      </c>
      <c r="K102" s="1">
        <v>41640</v>
      </c>
      <c r="L102" s="2">
        <f>SUM(Tabla1[[#This Row],[Serv. Culturales Derecho Hab Publ]:[Soci Comedores Pensionados Jubl]])</f>
        <v>162909</v>
      </c>
    </row>
    <row r="103" spans="1:12" x14ac:dyDescent="0.3">
      <c r="A103" s="2">
        <v>2013</v>
      </c>
      <c r="B103" t="s">
        <v>7</v>
      </c>
      <c r="C103" s="2">
        <v>88495</v>
      </c>
      <c r="D103" s="2">
        <v>56697</v>
      </c>
      <c r="E103" s="2">
        <v>0</v>
      </c>
      <c r="F103" s="2">
        <v>22</v>
      </c>
      <c r="G103" s="2">
        <v>1795</v>
      </c>
      <c r="H103" s="2">
        <v>10806</v>
      </c>
      <c r="I103" s="2">
        <v>4091</v>
      </c>
      <c r="J103" s="2">
        <v>0</v>
      </c>
      <c r="K103" s="1">
        <v>41275</v>
      </c>
      <c r="L103" s="2">
        <f>SUM(Tabla1[[#This Row],[Serv. Culturales Derecho Hab Publ]:[Soci Comedores Pensionados Jubl]])</f>
        <v>161906</v>
      </c>
    </row>
    <row r="104" spans="1:12" x14ac:dyDescent="0.3">
      <c r="A104" s="2">
        <v>2019</v>
      </c>
      <c r="B104" t="s">
        <v>6</v>
      </c>
      <c r="C104" s="2">
        <v>68938</v>
      </c>
      <c r="D104" s="2">
        <v>72141</v>
      </c>
      <c r="E104" s="2">
        <v>0</v>
      </c>
      <c r="F104" s="2">
        <v>188</v>
      </c>
      <c r="G104" s="2">
        <v>8607</v>
      </c>
      <c r="H104" s="2">
        <v>4903</v>
      </c>
      <c r="I104" s="2">
        <v>7118</v>
      </c>
      <c r="J104" s="2">
        <v>0</v>
      </c>
      <c r="K104" s="1">
        <v>43466</v>
      </c>
      <c r="L104" s="2">
        <f>SUM(Tabla1[[#This Row],[Serv. Culturales Derecho Hab Publ]:[Soci Comedores Pensionados Jubl]])</f>
        <v>161895</v>
      </c>
    </row>
    <row r="105" spans="1:12" x14ac:dyDescent="0.3">
      <c r="A105" s="2">
        <v>2014</v>
      </c>
      <c r="B105" t="s">
        <v>13</v>
      </c>
      <c r="C105" s="2">
        <v>90923</v>
      </c>
      <c r="D105" s="2">
        <v>55729</v>
      </c>
      <c r="E105" s="2">
        <v>0</v>
      </c>
      <c r="F105" s="2">
        <v>183</v>
      </c>
      <c r="G105" s="2">
        <v>7051</v>
      </c>
      <c r="H105" s="2">
        <v>3420</v>
      </c>
      <c r="I105" s="2">
        <v>3978</v>
      </c>
      <c r="J105" s="2">
        <v>0</v>
      </c>
      <c r="K105" s="1">
        <v>41640</v>
      </c>
      <c r="L105" s="2">
        <f>SUM(Tabla1[[#This Row],[Serv. Culturales Derecho Hab Publ]:[Soci Comedores Pensionados Jubl]])</f>
        <v>161284</v>
      </c>
    </row>
    <row r="106" spans="1:12" x14ac:dyDescent="0.3">
      <c r="A106" s="2">
        <v>2014</v>
      </c>
      <c r="B106" t="s">
        <v>12</v>
      </c>
      <c r="C106" s="2">
        <v>128923</v>
      </c>
      <c r="D106" s="2">
        <v>17123</v>
      </c>
      <c r="E106" s="2">
        <v>0</v>
      </c>
      <c r="F106" s="2">
        <v>55</v>
      </c>
      <c r="G106" s="2">
        <v>1699</v>
      </c>
      <c r="H106" s="2">
        <v>5276</v>
      </c>
      <c r="I106" s="2">
        <v>7034</v>
      </c>
      <c r="J106" s="2">
        <v>0</v>
      </c>
      <c r="K106" s="1">
        <v>41640</v>
      </c>
      <c r="L106" s="2">
        <f>SUM(Tabla1[[#This Row],[Serv. Culturales Derecho Hab Publ]:[Soci Comedores Pensionados Jubl]])</f>
        <v>160110</v>
      </c>
    </row>
    <row r="107" spans="1:12" x14ac:dyDescent="0.3">
      <c r="A107" s="2">
        <v>2019</v>
      </c>
      <c r="B107" t="s">
        <v>51</v>
      </c>
      <c r="C107" s="2">
        <v>64862</v>
      </c>
      <c r="D107" s="2">
        <v>46989</v>
      </c>
      <c r="E107" s="2">
        <v>0</v>
      </c>
      <c r="F107" s="2">
        <v>97</v>
      </c>
      <c r="G107" s="2">
        <v>10086</v>
      </c>
      <c r="H107" s="2">
        <v>25968</v>
      </c>
      <c r="I107" s="2">
        <v>11618</v>
      </c>
      <c r="J107" s="2">
        <v>0</v>
      </c>
      <c r="K107" s="1">
        <v>43466</v>
      </c>
      <c r="L107" s="2">
        <f>SUM(Tabla1[[#This Row],[Serv. Culturales Derecho Hab Publ]:[Soci Comedores Pensionados Jubl]])</f>
        <v>159620</v>
      </c>
    </row>
    <row r="108" spans="1:12" x14ac:dyDescent="0.3">
      <c r="A108" s="2">
        <v>2013</v>
      </c>
      <c r="B108" t="s">
        <v>13</v>
      </c>
      <c r="C108" s="2">
        <v>88738</v>
      </c>
      <c r="D108" s="2">
        <v>54785</v>
      </c>
      <c r="E108" s="2">
        <v>0</v>
      </c>
      <c r="F108" s="2">
        <v>193</v>
      </c>
      <c r="G108" s="2">
        <v>8403</v>
      </c>
      <c r="H108" s="2">
        <v>3415</v>
      </c>
      <c r="I108" s="2">
        <v>3864</v>
      </c>
      <c r="J108" s="2">
        <v>0</v>
      </c>
      <c r="K108" s="1">
        <v>41275</v>
      </c>
      <c r="L108" s="2">
        <f>SUM(Tabla1[[#This Row],[Serv. Culturales Derecho Hab Publ]:[Soci Comedores Pensionados Jubl]])</f>
        <v>159398</v>
      </c>
    </row>
    <row r="109" spans="1:12" x14ac:dyDescent="0.3">
      <c r="A109" s="2">
        <v>2017</v>
      </c>
      <c r="B109" t="s">
        <v>15</v>
      </c>
      <c r="C109" s="2">
        <v>82972</v>
      </c>
      <c r="D109" s="2">
        <v>55731</v>
      </c>
      <c r="E109" s="2">
        <v>0</v>
      </c>
      <c r="F109" s="2">
        <v>364</v>
      </c>
      <c r="G109" s="2">
        <v>5724</v>
      </c>
      <c r="H109" s="2">
        <v>2030</v>
      </c>
      <c r="I109" s="2">
        <v>12046</v>
      </c>
      <c r="J109" s="2">
        <v>0</v>
      </c>
      <c r="K109" s="1">
        <v>42736</v>
      </c>
      <c r="L109" s="2">
        <f>SUM(Tabla1[[#This Row],[Serv. Culturales Derecho Hab Publ]:[Soci Comedores Pensionados Jubl]])</f>
        <v>158867</v>
      </c>
    </row>
    <row r="110" spans="1:12" x14ac:dyDescent="0.3">
      <c r="A110" s="2">
        <v>2017</v>
      </c>
      <c r="B110" t="s">
        <v>48</v>
      </c>
      <c r="C110" s="2">
        <v>108205</v>
      </c>
      <c r="D110" s="2">
        <v>34249</v>
      </c>
      <c r="E110" s="2">
        <v>0</v>
      </c>
      <c r="F110" s="2">
        <v>1174</v>
      </c>
      <c r="G110" s="2">
        <v>4570</v>
      </c>
      <c r="H110" s="2">
        <v>2269</v>
      </c>
      <c r="I110" s="2">
        <v>7634</v>
      </c>
      <c r="J110" s="2">
        <v>0</v>
      </c>
      <c r="K110" s="1">
        <v>42736</v>
      </c>
      <c r="L110" s="2">
        <f>SUM(Tabla1[[#This Row],[Serv. Culturales Derecho Hab Publ]:[Soci Comedores Pensionados Jubl]])</f>
        <v>158101</v>
      </c>
    </row>
    <row r="111" spans="1:12" x14ac:dyDescent="0.3">
      <c r="A111" s="2">
        <v>2015</v>
      </c>
      <c r="B111" t="s">
        <v>15</v>
      </c>
      <c r="C111" s="2">
        <v>74815</v>
      </c>
      <c r="D111" s="2">
        <v>56353</v>
      </c>
      <c r="E111" s="2">
        <v>0</v>
      </c>
      <c r="F111" s="2">
        <v>240</v>
      </c>
      <c r="G111" s="2">
        <v>6392</v>
      </c>
      <c r="H111" s="2">
        <v>1778</v>
      </c>
      <c r="I111" s="2">
        <v>17760</v>
      </c>
      <c r="J111" s="2">
        <v>0</v>
      </c>
      <c r="K111" s="1">
        <v>42005</v>
      </c>
      <c r="L111" s="2">
        <f>SUM(Tabla1[[#This Row],[Serv. Culturales Derecho Hab Publ]:[Soci Comedores Pensionados Jubl]])</f>
        <v>157338</v>
      </c>
    </row>
    <row r="112" spans="1:12" x14ac:dyDescent="0.3">
      <c r="A112" s="2">
        <v>2015</v>
      </c>
      <c r="B112" t="s">
        <v>6</v>
      </c>
      <c r="C112" s="2">
        <v>77265</v>
      </c>
      <c r="D112" s="2">
        <v>61104</v>
      </c>
      <c r="E112" s="2">
        <v>0</v>
      </c>
      <c r="F112" s="2">
        <v>153</v>
      </c>
      <c r="G112" s="2">
        <v>7142</v>
      </c>
      <c r="H112" s="2">
        <v>2637</v>
      </c>
      <c r="I112" s="2">
        <v>7360</v>
      </c>
      <c r="J112" s="2">
        <v>0</v>
      </c>
      <c r="K112" s="1">
        <v>42005</v>
      </c>
      <c r="L112" s="2">
        <f>SUM(Tabla1[[#This Row],[Serv. Culturales Derecho Hab Publ]:[Soci Comedores Pensionados Jubl]])</f>
        <v>155661</v>
      </c>
    </row>
    <row r="113" spans="1:12" x14ac:dyDescent="0.3">
      <c r="A113" s="2">
        <v>2018</v>
      </c>
      <c r="B113" t="s">
        <v>2</v>
      </c>
      <c r="C113" s="2">
        <v>57071</v>
      </c>
      <c r="D113" s="2">
        <v>71603</v>
      </c>
      <c r="E113" s="2">
        <v>0</v>
      </c>
      <c r="F113" s="2">
        <v>52</v>
      </c>
      <c r="G113" s="2">
        <v>10027</v>
      </c>
      <c r="H113" s="2">
        <v>5383</v>
      </c>
      <c r="I113" s="2">
        <v>11190</v>
      </c>
      <c r="J113" s="2">
        <v>0</v>
      </c>
      <c r="K113" s="1">
        <v>43101</v>
      </c>
      <c r="L113" s="2">
        <f>SUM(Tabla1[[#This Row],[Serv. Culturales Derecho Hab Publ]:[Soci Comedores Pensionados Jubl]])</f>
        <v>155326</v>
      </c>
    </row>
    <row r="114" spans="1:12" x14ac:dyDescent="0.3">
      <c r="A114" s="2">
        <v>2015</v>
      </c>
      <c r="B114" t="s">
        <v>13</v>
      </c>
      <c r="C114" s="2">
        <v>86309</v>
      </c>
      <c r="D114" s="2">
        <v>54848</v>
      </c>
      <c r="E114" s="2">
        <v>0</v>
      </c>
      <c r="F114" s="2">
        <v>202</v>
      </c>
      <c r="G114" s="2">
        <v>6477</v>
      </c>
      <c r="H114" s="2">
        <v>3200</v>
      </c>
      <c r="I114" s="2">
        <v>3724</v>
      </c>
      <c r="J114" s="2">
        <v>0</v>
      </c>
      <c r="K114" s="1">
        <v>42005</v>
      </c>
      <c r="L114" s="2">
        <f>SUM(Tabla1[[#This Row],[Serv. Culturales Derecho Hab Publ]:[Soci Comedores Pensionados Jubl]])</f>
        <v>154760</v>
      </c>
    </row>
    <row r="115" spans="1:12" x14ac:dyDescent="0.3">
      <c r="A115" s="2">
        <v>2019</v>
      </c>
      <c r="B115" t="s">
        <v>15</v>
      </c>
      <c r="C115" s="2">
        <v>84659</v>
      </c>
      <c r="D115" s="2">
        <v>47146</v>
      </c>
      <c r="E115" s="2">
        <v>0</v>
      </c>
      <c r="F115" s="2">
        <v>559</v>
      </c>
      <c r="G115" s="2">
        <v>6826</v>
      </c>
      <c r="H115" s="2">
        <v>2244</v>
      </c>
      <c r="I115" s="2">
        <v>12815</v>
      </c>
      <c r="J115" s="2">
        <v>0</v>
      </c>
      <c r="K115" s="1">
        <v>43466</v>
      </c>
      <c r="L115" s="2">
        <f>SUM(Tabla1[[#This Row],[Serv. Culturales Derecho Hab Publ]:[Soci Comedores Pensionados Jubl]])</f>
        <v>154249</v>
      </c>
    </row>
    <row r="116" spans="1:12" x14ac:dyDescent="0.3">
      <c r="A116" s="2">
        <v>2018</v>
      </c>
      <c r="B116" t="s">
        <v>15</v>
      </c>
      <c r="C116" s="2">
        <v>81969</v>
      </c>
      <c r="D116" s="2">
        <v>51792</v>
      </c>
      <c r="E116" s="2">
        <v>0</v>
      </c>
      <c r="F116" s="2">
        <v>210</v>
      </c>
      <c r="G116" s="2">
        <v>6824</v>
      </c>
      <c r="H116" s="2">
        <v>1370</v>
      </c>
      <c r="I116" s="2">
        <v>11169</v>
      </c>
      <c r="J116" s="2">
        <v>0</v>
      </c>
      <c r="K116" s="1">
        <v>43101</v>
      </c>
      <c r="L116" s="2">
        <f>SUM(Tabla1[[#This Row],[Serv. Culturales Derecho Hab Publ]:[Soci Comedores Pensionados Jubl]])</f>
        <v>153334</v>
      </c>
    </row>
    <row r="117" spans="1:12" x14ac:dyDescent="0.3">
      <c r="A117" s="2">
        <v>2014</v>
      </c>
      <c r="B117" t="s">
        <v>19</v>
      </c>
      <c r="C117" s="2">
        <v>56276</v>
      </c>
      <c r="D117" s="2">
        <v>76730</v>
      </c>
      <c r="E117" s="2">
        <v>0</v>
      </c>
      <c r="F117" s="2">
        <v>93</v>
      </c>
      <c r="G117" s="2">
        <v>2196</v>
      </c>
      <c r="H117" s="2">
        <v>10498</v>
      </c>
      <c r="I117" s="2">
        <v>3856</v>
      </c>
      <c r="J117" s="2">
        <v>0</v>
      </c>
      <c r="K117" s="1">
        <v>41640</v>
      </c>
      <c r="L117" s="2">
        <f>SUM(Tabla1[[#This Row],[Serv. Culturales Derecho Hab Publ]:[Soci Comedores Pensionados Jubl]])</f>
        <v>149649</v>
      </c>
    </row>
    <row r="118" spans="1:12" x14ac:dyDescent="0.3">
      <c r="A118" s="2">
        <v>2014</v>
      </c>
      <c r="B118" t="s">
        <v>3</v>
      </c>
      <c r="C118" s="2">
        <v>49368</v>
      </c>
      <c r="D118" s="2">
        <v>71020</v>
      </c>
      <c r="E118" s="2">
        <v>0</v>
      </c>
      <c r="F118" s="2">
        <v>9</v>
      </c>
      <c r="G118" s="2">
        <v>7766</v>
      </c>
      <c r="H118" s="2">
        <v>14356</v>
      </c>
      <c r="I118" s="2">
        <v>6136</v>
      </c>
      <c r="J118" s="2">
        <v>0</v>
      </c>
      <c r="K118" s="1">
        <v>41640</v>
      </c>
      <c r="L118" s="2">
        <f>SUM(Tabla1[[#This Row],[Serv. Culturales Derecho Hab Publ]:[Soci Comedores Pensionados Jubl]])</f>
        <v>148655</v>
      </c>
    </row>
    <row r="119" spans="1:12" x14ac:dyDescent="0.3">
      <c r="A119" s="2">
        <v>2015</v>
      </c>
      <c r="B119" t="s">
        <v>12</v>
      </c>
      <c r="C119" s="2">
        <v>117939</v>
      </c>
      <c r="D119" s="2">
        <v>15164</v>
      </c>
      <c r="E119" s="2">
        <v>0</v>
      </c>
      <c r="F119" s="2">
        <v>60</v>
      </c>
      <c r="G119" s="2">
        <v>2188</v>
      </c>
      <c r="H119" s="2">
        <v>5651</v>
      </c>
      <c r="I119" s="2">
        <v>7439</v>
      </c>
      <c r="J119" s="2">
        <v>0</v>
      </c>
      <c r="K119" s="1">
        <v>42005</v>
      </c>
      <c r="L119" s="2">
        <f>SUM(Tabla1[[#This Row],[Serv. Culturales Derecho Hab Publ]:[Soci Comedores Pensionados Jubl]])</f>
        <v>148441</v>
      </c>
    </row>
    <row r="120" spans="1:12" x14ac:dyDescent="0.3">
      <c r="A120" s="2">
        <v>2020</v>
      </c>
      <c r="B120" t="s">
        <v>24</v>
      </c>
      <c r="C120" s="2">
        <v>148392</v>
      </c>
      <c r="D120" s="2">
        <v>0</v>
      </c>
      <c r="E120" s="2">
        <v>0</v>
      </c>
      <c r="F120" s="2">
        <v>45</v>
      </c>
      <c r="G120" s="2">
        <v>0</v>
      </c>
      <c r="H120" s="2">
        <v>0</v>
      </c>
      <c r="I120" s="2">
        <v>0</v>
      </c>
      <c r="J120" s="2">
        <v>0</v>
      </c>
      <c r="K120" s="1">
        <v>43831</v>
      </c>
      <c r="L120" s="2">
        <f>SUM(Tabla1[[#This Row],[Serv. Culturales Derecho Hab Publ]:[Soci Comedores Pensionados Jubl]])</f>
        <v>148437</v>
      </c>
    </row>
    <row r="121" spans="1:12" x14ac:dyDescent="0.3">
      <c r="A121" s="2">
        <v>2018</v>
      </c>
      <c r="B121" t="s">
        <v>48</v>
      </c>
      <c r="C121" s="2">
        <v>99373</v>
      </c>
      <c r="D121" s="2">
        <v>34177</v>
      </c>
      <c r="E121" s="2">
        <v>0</v>
      </c>
      <c r="F121" s="2">
        <v>1825</v>
      </c>
      <c r="G121" s="2">
        <v>3221</v>
      </c>
      <c r="H121" s="2">
        <v>2268</v>
      </c>
      <c r="I121" s="2">
        <v>5132</v>
      </c>
      <c r="J121" s="2">
        <v>0</v>
      </c>
      <c r="K121" s="1">
        <v>43101</v>
      </c>
      <c r="L121" s="2">
        <f>SUM(Tabla1[[#This Row],[Serv. Culturales Derecho Hab Publ]:[Soci Comedores Pensionados Jubl]])</f>
        <v>145996</v>
      </c>
    </row>
    <row r="122" spans="1:12" x14ac:dyDescent="0.3">
      <c r="A122" s="2">
        <v>2017</v>
      </c>
      <c r="B122" t="s">
        <v>18</v>
      </c>
      <c r="C122" s="2">
        <v>100728</v>
      </c>
      <c r="D122" s="2">
        <v>23999</v>
      </c>
      <c r="E122" s="2">
        <v>0</v>
      </c>
      <c r="F122" s="2">
        <v>50</v>
      </c>
      <c r="G122" s="2">
        <v>1940</v>
      </c>
      <c r="H122" s="2">
        <v>11549</v>
      </c>
      <c r="I122" s="2">
        <v>6843</v>
      </c>
      <c r="J122" s="2">
        <v>0</v>
      </c>
      <c r="K122" s="1">
        <v>42736</v>
      </c>
      <c r="L122" s="2">
        <f>SUM(Tabla1[[#This Row],[Serv. Culturales Derecho Hab Publ]:[Soci Comedores Pensionados Jubl]])</f>
        <v>145109</v>
      </c>
    </row>
    <row r="123" spans="1:12" x14ac:dyDescent="0.3">
      <c r="A123" s="2">
        <v>2019</v>
      </c>
      <c r="B123" t="s">
        <v>19</v>
      </c>
      <c r="C123" s="2">
        <v>92025</v>
      </c>
      <c r="D123" s="2">
        <v>17653</v>
      </c>
      <c r="E123" s="2">
        <v>0</v>
      </c>
      <c r="F123" s="2">
        <v>94</v>
      </c>
      <c r="G123" s="2">
        <v>6420</v>
      </c>
      <c r="H123" s="2">
        <v>15938</v>
      </c>
      <c r="I123" s="2">
        <v>12015</v>
      </c>
      <c r="J123" s="2">
        <v>0</v>
      </c>
      <c r="K123" s="1">
        <v>43466</v>
      </c>
      <c r="L123" s="2">
        <f>SUM(Tabla1[[#This Row],[Serv. Culturales Derecho Hab Publ]:[Soci Comedores Pensionados Jubl]])</f>
        <v>144145</v>
      </c>
    </row>
    <row r="124" spans="1:12" x14ac:dyDescent="0.3">
      <c r="A124" s="2">
        <v>2015</v>
      </c>
      <c r="B124" t="s">
        <v>1</v>
      </c>
      <c r="C124" s="2">
        <v>83223</v>
      </c>
      <c r="D124" s="2">
        <v>41949</v>
      </c>
      <c r="E124" s="2">
        <v>0</v>
      </c>
      <c r="F124" s="2">
        <v>50</v>
      </c>
      <c r="G124" s="2">
        <v>2295</v>
      </c>
      <c r="H124" s="2">
        <v>2446</v>
      </c>
      <c r="I124" s="2">
        <v>12254</v>
      </c>
      <c r="J124" s="2">
        <v>0</v>
      </c>
      <c r="K124" s="1">
        <v>42005</v>
      </c>
      <c r="L124" s="2">
        <f>SUM(Tabla1[[#This Row],[Serv. Culturales Derecho Hab Publ]:[Soci Comedores Pensionados Jubl]])</f>
        <v>142217</v>
      </c>
    </row>
    <row r="125" spans="1:12" x14ac:dyDescent="0.3">
      <c r="A125" s="2">
        <v>2018</v>
      </c>
      <c r="B125" t="s">
        <v>21</v>
      </c>
      <c r="C125" s="2">
        <v>99287</v>
      </c>
      <c r="D125" s="2">
        <v>25673</v>
      </c>
      <c r="E125" s="2">
        <v>0</v>
      </c>
      <c r="F125" s="2">
        <v>369</v>
      </c>
      <c r="G125" s="2">
        <v>6276</v>
      </c>
      <c r="H125" s="2">
        <v>3015</v>
      </c>
      <c r="I125" s="2">
        <v>7399</v>
      </c>
      <c r="J125" s="2">
        <v>0</v>
      </c>
      <c r="K125" s="1">
        <v>43101</v>
      </c>
      <c r="L125" s="2">
        <f>SUM(Tabla1[[#This Row],[Serv. Culturales Derecho Hab Publ]:[Soci Comedores Pensionados Jubl]])</f>
        <v>142019</v>
      </c>
    </row>
    <row r="126" spans="1:12" x14ac:dyDescent="0.3">
      <c r="A126" s="2">
        <v>2019</v>
      </c>
      <c r="B126" t="s">
        <v>13</v>
      </c>
      <c r="C126" s="2">
        <v>72968</v>
      </c>
      <c r="D126" s="2">
        <v>55386</v>
      </c>
      <c r="E126" s="2">
        <v>0</v>
      </c>
      <c r="F126" s="2">
        <v>217</v>
      </c>
      <c r="G126" s="2">
        <v>2491</v>
      </c>
      <c r="H126" s="2">
        <v>3816</v>
      </c>
      <c r="I126" s="2">
        <v>6355</v>
      </c>
      <c r="J126" s="2">
        <v>0</v>
      </c>
      <c r="K126" s="1">
        <v>43466</v>
      </c>
      <c r="L126" s="2">
        <f>SUM(Tabla1[[#This Row],[Serv. Culturales Derecho Hab Publ]:[Soci Comedores Pensionados Jubl]])</f>
        <v>141233</v>
      </c>
    </row>
    <row r="127" spans="1:12" x14ac:dyDescent="0.3">
      <c r="A127" s="2">
        <v>2016</v>
      </c>
      <c r="B127" t="s">
        <v>51</v>
      </c>
      <c r="C127" s="2">
        <v>92295</v>
      </c>
      <c r="D127" s="2">
        <v>0</v>
      </c>
      <c r="E127" s="2">
        <v>0</v>
      </c>
      <c r="F127" s="2">
        <v>0</v>
      </c>
      <c r="G127" s="2">
        <v>15226</v>
      </c>
      <c r="H127" s="2">
        <v>14638</v>
      </c>
      <c r="I127" s="2">
        <v>18445</v>
      </c>
      <c r="J127" s="2">
        <v>0</v>
      </c>
      <c r="K127" s="1">
        <v>42370</v>
      </c>
      <c r="L127" s="2">
        <f>SUM(Tabla1[[#This Row],[Serv. Culturales Derecho Hab Publ]:[Soci Comedores Pensionados Jubl]])</f>
        <v>140604</v>
      </c>
    </row>
    <row r="128" spans="1:12" x14ac:dyDescent="0.3">
      <c r="A128" s="2">
        <v>2018</v>
      </c>
      <c r="B128" t="s">
        <v>18</v>
      </c>
      <c r="C128" s="2">
        <v>104609</v>
      </c>
      <c r="D128" s="2">
        <v>18956</v>
      </c>
      <c r="E128" s="2">
        <v>0</v>
      </c>
      <c r="F128" s="2">
        <v>19</v>
      </c>
      <c r="G128" s="2">
        <v>917</v>
      </c>
      <c r="H128" s="2">
        <v>8046</v>
      </c>
      <c r="I128" s="2">
        <v>7707</v>
      </c>
      <c r="J128" s="2">
        <v>0</v>
      </c>
      <c r="K128" s="1">
        <v>43101</v>
      </c>
      <c r="L128" s="2">
        <f>SUM(Tabla1[[#This Row],[Serv. Culturales Derecho Hab Publ]:[Soci Comedores Pensionados Jubl]])</f>
        <v>140254</v>
      </c>
    </row>
    <row r="129" spans="1:12" x14ac:dyDescent="0.3">
      <c r="A129" s="2">
        <v>2016</v>
      </c>
      <c r="B129" t="s">
        <v>30</v>
      </c>
      <c r="C129" s="2">
        <v>103051</v>
      </c>
      <c r="D129" s="2">
        <v>0</v>
      </c>
      <c r="E129" s="2">
        <v>0</v>
      </c>
      <c r="F129" s="2">
        <v>0</v>
      </c>
      <c r="G129" s="2">
        <v>3707</v>
      </c>
      <c r="H129" s="2">
        <v>11732</v>
      </c>
      <c r="I129" s="2">
        <v>21376</v>
      </c>
      <c r="J129" s="2">
        <v>0</v>
      </c>
      <c r="K129" s="1">
        <v>42370</v>
      </c>
      <c r="L129" s="2">
        <f>SUM(Tabla1[[#This Row],[Serv. Culturales Derecho Hab Publ]:[Soci Comedores Pensionados Jubl]])</f>
        <v>139866</v>
      </c>
    </row>
    <row r="130" spans="1:12" x14ac:dyDescent="0.3">
      <c r="A130" s="2">
        <v>2018</v>
      </c>
      <c r="B130" t="s">
        <v>6</v>
      </c>
      <c r="C130" s="2">
        <v>54085</v>
      </c>
      <c r="D130" s="2">
        <v>70331</v>
      </c>
      <c r="E130" s="2">
        <v>0</v>
      </c>
      <c r="F130" s="2">
        <v>163</v>
      </c>
      <c r="G130" s="2">
        <v>9040</v>
      </c>
      <c r="H130" s="2">
        <v>3363</v>
      </c>
      <c r="I130" s="2">
        <v>2038</v>
      </c>
      <c r="J130" s="2">
        <v>0</v>
      </c>
      <c r="K130" s="1">
        <v>43101</v>
      </c>
      <c r="L130" s="2">
        <f>SUM(Tabla1[[#This Row],[Serv. Culturales Derecho Hab Publ]:[Soci Comedores Pensionados Jubl]])</f>
        <v>139020</v>
      </c>
    </row>
    <row r="131" spans="1:12" x14ac:dyDescent="0.3">
      <c r="A131" s="2">
        <v>2017</v>
      </c>
      <c r="B131" t="s">
        <v>21</v>
      </c>
      <c r="C131" s="2">
        <v>95061</v>
      </c>
      <c r="D131" s="2">
        <v>25403</v>
      </c>
      <c r="E131" s="2">
        <v>0</v>
      </c>
      <c r="F131" s="2">
        <v>131</v>
      </c>
      <c r="G131" s="2">
        <v>6243</v>
      </c>
      <c r="H131" s="2">
        <v>2863</v>
      </c>
      <c r="I131" s="2">
        <v>8169</v>
      </c>
      <c r="J131" s="2">
        <v>0</v>
      </c>
      <c r="K131" s="1">
        <v>42736</v>
      </c>
      <c r="L131" s="2">
        <f>SUM(Tabla1[[#This Row],[Serv. Culturales Derecho Hab Publ]:[Soci Comedores Pensionados Jubl]])</f>
        <v>137870</v>
      </c>
    </row>
    <row r="132" spans="1:12" x14ac:dyDescent="0.3">
      <c r="A132" s="2">
        <v>2017</v>
      </c>
      <c r="B132" t="s">
        <v>8</v>
      </c>
      <c r="C132" s="2">
        <v>45528</v>
      </c>
      <c r="D132" s="2">
        <v>44394</v>
      </c>
      <c r="E132" s="2">
        <v>0</v>
      </c>
      <c r="F132" s="2">
        <v>167</v>
      </c>
      <c r="G132" s="2">
        <v>10913</v>
      </c>
      <c r="H132" s="2">
        <v>4177</v>
      </c>
      <c r="I132" s="2">
        <v>32107</v>
      </c>
      <c r="J132" s="2">
        <v>0</v>
      </c>
      <c r="K132" s="1">
        <v>42736</v>
      </c>
      <c r="L132" s="2">
        <f>SUM(Tabla1[[#This Row],[Serv. Culturales Derecho Hab Publ]:[Soci Comedores Pensionados Jubl]])</f>
        <v>137286</v>
      </c>
    </row>
    <row r="133" spans="1:12" x14ac:dyDescent="0.3">
      <c r="A133" s="2">
        <v>2019</v>
      </c>
      <c r="B133" t="s">
        <v>11</v>
      </c>
      <c r="C133" s="2">
        <v>86896</v>
      </c>
      <c r="D133" s="2">
        <v>32765</v>
      </c>
      <c r="E133" s="2">
        <v>0</v>
      </c>
      <c r="F133" s="2">
        <v>226</v>
      </c>
      <c r="G133" s="2">
        <v>7314</v>
      </c>
      <c r="H133" s="2">
        <v>3081</v>
      </c>
      <c r="I133" s="2">
        <v>6242</v>
      </c>
      <c r="J133" s="2">
        <v>0</v>
      </c>
      <c r="K133" s="1">
        <v>43466</v>
      </c>
      <c r="L133" s="2">
        <f>SUM(Tabla1[[#This Row],[Serv. Culturales Derecho Hab Publ]:[Soci Comedores Pensionados Jubl]])</f>
        <v>136524</v>
      </c>
    </row>
    <row r="134" spans="1:12" x14ac:dyDescent="0.3">
      <c r="A134" s="2">
        <v>2015</v>
      </c>
      <c r="B134" t="s">
        <v>11</v>
      </c>
      <c r="C134" s="2">
        <v>48617</v>
      </c>
      <c r="D134" s="2">
        <v>40187</v>
      </c>
      <c r="E134" s="2">
        <v>0</v>
      </c>
      <c r="F134" s="2">
        <v>232</v>
      </c>
      <c r="G134" s="2">
        <v>35664</v>
      </c>
      <c r="H134" s="2">
        <v>3018</v>
      </c>
      <c r="I134" s="2">
        <v>7193</v>
      </c>
      <c r="J134" s="2">
        <v>0</v>
      </c>
      <c r="K134" s="1">
        <v>42005</v>
      </c>
      <c r="L134" s="2">
        <f>SUM(Tabla1[[#This Row],[Serv. Culturales Derecho Hab Publ]:[Soci Comedores Pensionados Jubl]])</f>
        <v>134911</v>
      </c>
    </row>
    <row r="135" spans="1:12" x14ac:dyDescent="0.3">
      <c r="A135" s="2">
        <v>2014</v>
      </c>
      <c r="B135" t="s">
        <v>4</v>
      </c>
      <c r="C135" s="2">
        <v>77475</v>
      </c>
      <c r="D135" s="2">
        <v>36780</v>
      </c>
      <c r="E135" s="2">
        <v>0</v>
      </c>
      <c r="F135" s="2">
        <v>83</v>
      </c>
      <c r="G135" s="2">
        <v>6153</v>
      </c>
      <c r="H135" s="2">
        <v>1225</v>
      </c>
      <c r="I135" s="2">
        <v>11974</v>
      </c>
      <c r="J135" s="2">
        <v>0</v>
      </c>
      <c r="K135" s="1">
        <v>41640</v>
      </c>
      <c r="L135" s="2">
        <f>SUM(Tabla1[[#This Row],[Serv. Culturales Derecho Hab Publ]:[Soci Comedores Pensionados Jubl]])</f>
        <v>133690</v>
      </c>
    </row>
    <row r="136" spans="1:12" x14ac:dyDescent="0.3">
      <c r="A136" s="2">
        <v>2014</v>
      </c>
      <c r="B136" t="s">
        <v>1</v>
      </c>
      <c r="C136" s="2">
        <v>80369</v>
      </c>
      <c r="D136" s="2">
        <v>40548</v>
      </c>
      <c r="E136" s="2">
        <v>0</v>
      </c>
      <c r="F136" s="2">
        <v>78</v>
      </c>
      <c r="G136" s="2">
        <v>2444</v>
      </c>
      <c r="H136" s="2">
        <v>2097</v>
      </c>
      <c r="I136" s="2">
        <v>7644</v>
      </c>
      <c r="J136" s="2">
        <v>0</v>
      </c>
      <c r="K136" s="1">
        <v>41640</v>
      </c>
      <c r="L136" s="2">
        <f>SUM(Tabla1[[#This Row],[Serv. Culturales Derecho Hab Publ]:[Soci Comedores Pensionados Jubl]])</f>
        <v>133180</v>
      </c>
    </row>
    <row r="137" spans="1:12" x14ac:dyDescent="0.3">
      <c r="A137" s="2">
        <v>2017</v>
      </c>
      <c r="B137" t="s">
        <v>5</v>
      </c>
      <c r="C137" s="2">
        <v>80363</v>
      </c>
      <c r="D137" s="2">
        <v>25670</v>
      </c>
      <c r="E137" s="2">
        <v>0</v>
      </c>
      <c r="F137" s="2">
        <v>99</v>
      </c>
      <c r="G137" s="2">
        <v>2207</v>
      </c>
      <c r="H137" s="2">
        <v>13301</v>
      </c>
      <c r="I137" s="2">
        <v>11454</v>
      </c>
      <c r="J137" s="2">
        <v>0</v>
      </c>
      <c r="K137" s="1">
        <v>42736</v>
      </c>
      <c r="L137" s="2">
        <f>SUM(Tabla1[[#This Row],[Serv. Culturales Derecho Hab Publ]:[Soci Comedores Pensionados Jubl]])</f>
        <v>133094</v>
      </c>
    </row>
    <row r="138" spans="1:12" x14ac:dyDescent="0.3">
      <c r="A138" s="2">
        <v>2017</v>
      </c>
      <c r="B138" t="s">
        <v>32</v>
      </c>
      <c r="C138" s="2">
        <v>68545</v>
      </c>
      <c r="D138" s="2">
        <v>47250</v>
      </c>
      <c r="E138" s="2">
        <v>0</v>
      </c>
      <c r="F138" s="2">
        <v>68</v>
      </c>
      <c r="G138" s="2">
        <v>4873</v>
      </c>
      <c r="H138" s="2">
        <v>3005</v>
      </c>
      <c r="I138" s="2">
        <v>9269</v>
      </c>
      <c r="J138" s="2">
        <v>0</v>
      </c>
      <c r="K138" s="1">
        <v>42736</v>
      </c>
      <c r="L138" s="2">
        <f>SUM(Tabla1[[#This Row],[Serv. Culturales Derecho Hab Publ]:[Soci Comedores Pensionados Jubl]])</f>
        <v>133010</v>
      </c>
    </row>
    <row r="139" spans="1:12" x14ac:dyDescent="0.3">
      <c r="A139" s="2">
        <v>2013</v>
      </c>
      <c r="B139" t="s">
        <v>19</v>
      </c>
      <c r="C139" s="2">
        <v>43996</v>
      </c>
      <c r="D139" s="2">
        <v>69679</v>
      </c>
      <c r="E139" s="2">
        <v>0</v>
      </c>
      <c r="F139" s="2">
        <v>118</v>
      </c>
      <c r="G139" s="2">
        <v>1783</v>
      </c>
      <c r="H139" s="2">
        <v>11541</v>
      </c>
      <c r="I139" s="2">
        <v>5842</v>
      </c>
      <c r="J139" s="2">
        <v>0</v>
      </c>
      <c r="K139" s="1">
        <v>41275</v>
      </c>
      <c r="L139" s="2">
        <f>SUM(Tabla1[[#This Row],[Serv. Culturales Derecho Hab Publ]:[Soci Comedores Pensionados Jubl]])</f>
        <v>132959</v>
      </c>
    </row>
    <row r="140" spans="1:12" x14ac:dyDescent="0.3">
      <c r="A140" s="2">
        <v>2013</v>
      </c>
      <c r="B140" t="s">
        <v>5</v>
      </c>
      <c r="C140" s="2">
        <v>92979</v>
      </c>
      <c r="D140" s="2">
        <v>23992</v>
      </c>
      <c r="E140" s="2">
        <v>0</v>
      </c>
      <c r="F140" s="2">
        <v>200</v>
      </c>
      <c r="G140" s="2">
        <v>1475</v>
      </c>
      <c r="H140" s="2">
        <v>12000</v>
      </c>
      <c r="I140" s="2">
        <v>1471</v>
      </c>
      <c r="J140" s="2">
        <v>0</v>
      </c>
      <c r="K140" s="1">
        <v>41275</v>
      </c>
      <c r="L140" s="2">
        <f>SUM(Tabla1[[#This Row],[Serv. Culturales Derecho Hab Publ]:[Soci Comedores Pensionados Jubl]])</f>
        <v>132117</v>
      </c>
    </row>
    <row r="141" spans="1:12" x14ac:dyDescent="0.3">
      <c r="A141" s="2">
        <v>2017</v>
      </c>
      <c r="B141" t="s">
        <v>22</v>
      </c>
      <c r="C141" s="2">
        <v>70079</v>
      </c>
      <c r="D141" s="2">
        <v>51068</v>
      </c>
      <c r="E141" s="2">
        <v>0</v>
      </c>
      <c r="F141" s="2">
        <v>97</v>
      </c>
      <c r="G141" s="2">
        <v>3704</v>
      </c>
      <c r="H141" s="2">
        <v>6003</v>
      </c>
      <c r="I141" s="2">
        <v>678</v>
      </c>
      <c r="J141" s="2">
        <v>0</v>
      </c>
      <c r="K141" s="1">
        <v>42736</v>
      </c>
      <c r="L141" s="2">
        <f>SUM(Tabla1[[#This Row],[Serv. Culturales Derecho Hab Publ]:[Soci Comedores Pensionados Jubl]])</f>
        <v>131629</v>
      </c>
    </row>
    <row r="142" spans="1:12" x14ac:dyDescent="0.3">
      <c r="A142" s="2">
        <v>2018</v>
      </c>
      <c r="B142" t="s">
        <v>4</v>
      </c>
      <c r="C142" s="2">
        <v>67456</v>
      </c>
      <c r="D142" s="2">
        <v>23896</v>
      </c>
      <c r="E142" s="2">
        <v>0</v>
      </c>
      <c r="F142" s="2">
        <v>29</v>
      </c>
      <c r="G142" s="2">
        <v>7827</v>
      </c>
      <c r="H142" s="2">
        <v>18299</v>
      </c>
      <c r="I142" s="2">
        <v>13524</v>
      </c>
      <c r="J142" s="2">
        <v>0</v>
      </c>
      <c r="K142" s="1">
        <v>43101</v>
      </c>
      <c r="L142" s="2">
        <f>SUM(Tabla1[[#This Row],[Serv. Culturales Derecho Hab Publ]:[Soci Comedores Pensionados Jubl]])</f>
        <v>131031</v>
      </c>
    </row>
    <row r="143" spans="1:12" x14ac:dyDescent="0.3">
      <c r="A143" s="2">
        <v>2014</v>
      </c>
      <c r="B143" t="s">
        <v>7</v>
      </c>
      <c r="C143" s="2">
        <v>62371</v>
      </c>
      <c r="D143" s="2">
        <v>44928</v>
      </c>
      <c r="E143" s="2">
        <v>0</v>
      </c>
      <c r="F143" s="2">
        <v>16</v>
      </c>
      <c r="G143" s="2">
        <v>4429</v>
      </c>
      <c r="H143" s="2">
        <v>12643</v>
      </c>
      <c r="I143" s="2">
        <v>5720</v>
      </c>
      <c r="J143" s="2">
        <v>0</v>
      </c>
      <c r="K143" s="1">
        <v>41640</v>
      </c>
      <c r="L143" s="2">
        <f>SUM(Tabla1[[#This Row],[Serv. Culturales Derecho Hab Publ]:[Soci Comedores Pensionados Jubl]])</f>
        <v>130107</v>
      </c>
    </row>
    <row r="144" spans="1:12" x14ac:dyDescent="0.3">
      <c r="A144" s="2">
        <v>2013</v>
      </c>
      <c r="B144" t="s">
        <v>4</v>
      </c>
      <c r="C144" s="2">
        <v>75766</v>
      </c>
      <c r="D144" s="2">
        <v>37125</v>
      </c>
      <c r="E144" s="2">
        <v>0</v>
      </c>
      <c r="F144" s="2">
        <v>36</v>
      </c>
      <c r="G144" s="2">
        <v>6205</v>
      </c>
      <c r="H144" s="2">
        <v>1300</v>
      </c>
      <c r="I144" s="2">
        <v>9513</v>
      </c>
      <c r="J144" s="2">
        <v>0</v>
      </c>
      <c r="K144" s="1">
        <v>41275</v>
      </c>
      <c r="L144" s="2">
        <f>SUM(Tabla1[[#This Row],[Serv. Culturales Derecho Hab Publ]:[Soci Comedores Pensionados Jubl]])</f>
        <v>129945</v>
      </c>
    </row>
    <row r="145" spans="1:12" x14ac:dyDescent="0.3">
      <c r="A145" s="2">
        <v>2014</v>
      </c>
      <c r="B145" t="s">
        <v>15</v>
      </c>
      <c r="C145" s="2">
        <v>54049</v>
      </c>
      <c r="D145" s="2">
        <v>56161</v>
      </c>
      <c r="E145" s="2">
        <v>0</v>
      </c>
      <c r="F145" s="2">
        <v>321</v>
      </c>
      <c r="G145" s="2">
        <v>4632</v>
      </c>
      <c r="H145" s="2">
        <v>1805</v>
      </c>
      <c r="I145" s="2">
        <v>11885</v>
      </c>
      <c r="J145" s="2">
        <v>0</v>
      </c>
      <c r="K145" s="1">
        <v>41640</v>
      </c>
      <c r="L145" s="2">
        <f>SUM(Tabla1[[#This Row],[Serv. Culturales Derecho Hab Publ]:[Soci Comedores Pensionados Jubl]])</f>
        <v>128853</v>
      </c>
    </row>
    <row r="146" spans="1:12" x14ac:dyDescent="0.3">
      <c r="A146" s="2">
        <v>2015</v>
      </c>
      <c r="B146" t="s">
        <v>19</v>
      </c>
      <c r="C146" s="2">
        <v>63340</v>
      </c>
      <c r="D146" s="2">
        <v>48121</v>
      </c>
      <c r="E146" s="2">
        <v>0</v>
      </c>
      <c r="F146" s="2">
        <v>89</v>
      </c>
      <c r="G146" s="2">
        <v>2136</v>
      </c>
      <c r="H146" s="2">
        <v>8829</v>
      </c>
      <c r="I146" s="2">
        <v>5856</v>
      </c>
      <c r="J146" s="2">
        <v>0</v>
      </c>
      <c r="K146" s="1">
        <v>42005</v>
      </c>
      <c r="L146" s="2">
        <f>SUM(Tabla1[[#This Row],[Serv. Culturales Derecho Hab Publ]:[Soci Comedores Pensionados Jubl]])</f>
        <v>128371</v>
      </c>
    </row>
    <row r="147" spans="1:12" x14ac:dyDescent="0.3">
      <c r="A147" s="2">
        <v>2017</v>
      </c>
      <c r="B147" t="s">
        <v>49</v>
      </c>
      <c r="C147" s="2">
        <v>51946</v>
      </c>
      <c r="D147" s="2">
        <v>38068</v>
      </c>
      <c r="E147" s="2">
        <v>0</v>
      </c>
      <c r="F147" s="2">
        <v>36</v>
      </c>
      <c r="G147" s="2">
        <v>11962</v>
      </c>
      <c r="H147" s="2">
        <v>6942</v>
      </c>
      <c r="I147" s="2">
        <v>18551</v>
      </c>
      <c r="J147" s="2">
        <v>0</v>
      </c>
      <c r="K147" s="1">
        <v>42736</v>
      </c>
      <c r="L147" s="2">
        <f>SUM(Tabla1[[#This Row],[Serv. Culturales Derecho Hab Publ]:[Soci Comedores Pensionados Jubl]])</f>
        <v>127505</v>
      </c>
    </row>
    <row r="148" spans="1:12" x14ac:dyDescent="0.3">
      <c r="A148" s="2">
        <v>2018</v>
      </c>
      <c r="B148" t="s">
        <v>32</v>
      </c>
      <c r="C148" s="2">
        <v>67147</v>
      </c>
      <c r="D148" s="2">
        <v>40468</v>
      </c>
      <c r="E148" s="2">
        <v>0</v>
      </c>
      <c r="F148" s="2">
        <v>55</v>
      </c>
      <c r="G148" s="2">
        <v>4987</v>
      </c>
      <c r="H148" s="2">
        <v>3952</v>
      </c>
      <c r="I148" s="2">
        <v>10182</v>
      </c>
      <c r="J148" s="2">
        <v>0</v>
      </c>
      <c r="K148" s="1">
        <v>43101</v>
      </c>
      <c r="L148" s="2">
        <f>SUM(Tabla1[[#This Row],[Serv. Culturales Derecho Hab Publ]:[Soci Comedores Pensionados Jubl]])</f>
        <v>126791</v>
      </c>
    </row>
    <row r="149" spans="1:12" x14ac:dyDescent="0.3">
      <c r="A149" s="2">
        <v>2016</v>
      </c>
      <c r="B149" t="s">
        <v>11</v>
      </c>
      <c r="C149" s="2">
        <v>106131</v>
      </c>
      <c r="D149" s="2">
        <v>0</v>
      </c>
      <c r="E149" s="2">
        <v>0</v>
      </c>
      <c r="F149" s="2">
        <v>0</v>
      </c>
      <c r="G149" s="2">
        <v>8657</v>
      </c>
      <c r="H149" s="2">
        <v>2758</v>
      </c>
      <c r="I149" s="2">
        <v>8040</v>
      </c>
      <c r="J149" s="2">
        <v>0</v>
      </c>
      <c r="K149" s="1">
        <v>42370</v>
      </c>
      <c r="L149" s="2">
        <f>SUM(Tabla1[[#This Row],[Serv. Culturales Derecho Hab Publ]:[Soci Comedores Pensionados Jubl]])</f>
        <v>125586</v>
      </c>
    </row>
    <row r="150" spans="1:12" x14ac:dyDescent="0.3">
      <c r="A150" s="2">
        <v>2014</v>
      </c>
      <c r="B150" t="s">
        <v>8</v>
      </c>
      <c r="C150" s="2">
        <v>55334</v>
      </c>
      <c r="D150" s="2">
        <v>63296</v>
      </c>
      <c r="E150" s="2">
        <v>0</v>
      </c>
      <c r="F150" s="2">
        <v>95</v>
      </c>
      <c r="G150" s="2">
        <v>0</v>
      </c>
      <c r="H150" s="2">
        <v>2414</v>
      </c>
      <c r="I150" s="2">
        <v>4410</v>
      </c>
      <c r="J150" s="2">
        <v>0</v>
      </c>
      <c r="K150" s="1">
        <v>41640</v>
      </c>
      <c r="L150" s="2">
        <f>SUM(Tabla1[[#This Row],[Serv. Culturales Derecho Hab Publ]:[Soci Comedores Pensionados Jubl]])</f>
        <v>125549</v>
      </c>
    </row>
    <row r="151" spans="1:12" x14ac:dyDescent="0.3">
      <c r="A151" s="2">
        <v>2015</v>
      </c>
      <c r="B151" t="s">
        <v>4</v>
      </c>
      <c r="C151" s="2">
        <v>69174</v>
      </c>
      <c r="D151" s="2">
        <v>36867</v>
      </c>
      <c r="E151" s="2">
        <v>0</v>
      </c>
      <c r="F151" s="2">
        <v>95</v>
      </c>
      <c r="G151" s="2">
        <v>6191</v>
      </c>
      <c r="H151" s="2">
        <v>1315</v>
      </c>
      <c r="I151" s="2">
        <v>10975</v>
      </c>
      <c r="J151" s="2">
        <v>0</v>
      </c>
      <c r="K151" s="1">
        <v>42005</v>
      </c>
      <c r="L151" s="2">
        <f>SUM(Tabla1[[#This Row],[Serv. Culturales Derecho Hab Publ]:[Soci Comedores Pensionados Jubl]])</f>
        <v>124617</v>
      </c>
    </row>
    <row r="152" spans="1:12" x14ac:dyDescent="0.3">
      <c r="A152" s="2">
        <v>2014</v>
      </c>
      <c r="B152" t="s">
        <v>22</v>
      </c>
      <c r="C152" s="2">
        <v>57523</v>
      </c>
      <c r="D152" s="2">
        <v>57413</v>
      </c>
      <c r="E152" s="2">
        <v>0</v>
      </c>
      <c r="F152" s="2">
        <v>63</v>
      </c>
      <c r="G152" s="2">
        <v>3784</v>
      </c>
      <c r="H152" s="2">
        <v>4793</v>
      </c>
      <c r="I152" s="2">
        <v>984</v>
      </c>
      <c r="J152" s="2">
        <v>0</v>
      </c>
      <c r="K152" s="1">
        <v>41640</v>
      </c>
      <c r="L152" s="2">
        <f>SUM(Tabla1[[#This Row],[Serv. Culturales Derecho Hab Publ]:[Soci Comedores Pensionados Jubl]])</f>
        <v>124560</v>
      </c>
    </row>
    <row r="153" spans="1:12" x14ac:dyDescent="0.3">
      <c r="A153" s="2">
        <v>2018</v>
      </c>
      <c r="B153" t="s">
        <v>49</v>
      </c>
      <c r="C153" s="2">
        <v>55687</v>
      </c>
      <c r="D153" s="2">
        <v>39038</v>
      </c>
      <c r="E153" s="2">
        <v>0</v>
      </c>
      <c r="F153" s="2">
        <v>15</v>
      </c>
      <c r="G153" s="2">
        <v>7835</v>
      </c>
      <c r="H153" s="2">
        <v>9476</v>
      </c>
      <c r="I153" s="2">
        <v>12450</v>
      </c>
      <c r="J153" s="2">
        <v>0</v>
      </c>
      <c r="K153" s="1">
        <v>43101</v>
      </c>
      <c r="L153" s="2">
        <f>SUM(Tabla1[[#This Row],[Serv. Culturales Derecho Hab Publ]:[Soci Comedores Pensionados Jubl]])</f>
        <v>124501</v>
      </c>
    </row>
    <row r="154" spans="1:12" x14ac:dyDescent="0.3">
      <c r="A154" s="2">
        <v>2013</v>
      </c>
      <c r="B154" t="s">
        <v>16</v>
      </c>
      <c r="C154" s="2">
        <v>60073</v>
      </c>
      <c r="D154" s="2">
        <v>47505</v>
      </c>
      <c r="E154" s="2">
        <v>0</v>
      </c>
      <c r="F154" s="2">
        <v>47</v>
      </c>
      <c r="G154" s="2">
        <v>6610</v>
      </c>
      <c r="H154" s="2">
        <v>2273</v>
      </c>
      <c r="I154" s="2">
        <v>7956</v>
      </c>
      <c r="J154" s="2">
        <v>0</v>
      </c>
      <c r="K154" s="1">
        <v>41275</v>
      </c>
      <c r="L154" s="2">
        <f>SUM(Tabla1[[#This Row],[Serv. Culturales Derecho Hab Publ]:[Soci Comedores Pensionados Jubl]])</f>
        <v>124464</v>
      </c>
    </row>
    <row r="155" spans="1:12" x14ac:dyDescent="0.3">
      <c r="A155" s="2">
        <v>2018</v>
      </c>
      <c r="B155" t="s">
        <v>22</v>
      </c>
      <c r="C155" s="2">
        <v>62324</v>
      </c>
      <c r="D155" s="2">
        <v>51174</v>
      </c>
      <c r="E155" s="2">
        <v>0</v>
      </c>
      <c r="F155" s="2">
        <v>72</v>
      </c>
      <c r="G155" s="2">
        <v>4193</v>
      </c>
      <c r="H155" s="2">
        <v>4068</v>
      </c>
      <c r="I155" s="2">
        <v>1130</v>
      </c>
      <c r="J155" s="2">
        <v>0</v>
      </c>
      <c r="K155" s="1">
        <v>43101</v>
      </c>
      <c r="L155" s="2">
        <f>SUM(Tabla1[[#This Row],[Serv. Culturales Derecho Hab Publ]:[Soci Comedores Pensionados Jubl]])</f>
        <v>122961</v>
      </c>
    </row>
    <row r="156" spans="1:12" x14ac:dyDescent="0.3">
      <c r="A156" s="2">
        <v>2016</v>
      </c>
      <c r="B156" t="s">
        <v>3</v>
      </c>
      <c r="C156" s="2">
        <v>50498</v>
      </c>
      <c r="D156" s="2">
        <v>0</v>
      </c>
      <c r="E156" s="2">
        <v>0</v>
      </c>
      <c r="F156" s="2">
        <v>0</v>
      </c>
      <c r="G156" s="2">
        <v>52128</v>
      </c>
      <c r="H156" s="2">
        <v>12022</v>
      </c>
      <c r="I156" s="2">
        <v>5995</v>
      </c>
      <c r="J156" s="2">
        <v>0</v>
      </c>
      <c r="K156" s="1">
        <v>42370</v>
      </c>
      <c r="L156" s="2">
        <f>SUM(Tabla1[[#This Row],[Serv. Culturales Derecho Hab Publ]:[Soci Comedores Pensionados Jubl]])</f>
        <v>120643</v>
      </c>
    </row>
    <row r="157" spans="1:12" x14ac:dyDescent="0.3">
      <c r="A157" s="2">
        <v>2019</v>
      </c>
      <c r="B157" t="s">
        <v>5</v>
      </c>
      <c r="C157" s="2">
        <v>68503</v>
      </c>
      <c r="D157" s="2">
        <v>19130</v>
      </c>
      <c r="E157" s="2">
        <v>0</v>
      </c>
      <c r="F157" s="2">
        <v>50</v>
      </c>
      <c r="G157" s="2">
        <v>1369</v>
      </c>
      <c r="H157" s="2">
        <v>14329</v>
      </c>
      <c r="I157" s="2">
        <v>16853</v>
      </c>
      <c r="J157" s="2">
        <v>0</v>
      </c>
      <c r="K157" s="1">
        <v>43466</v>
      </c>
      <c r="L157" s="2">
        <f>SUM(Tabla1[[#This Row],[Serv. Culturales Derecho Hab Publ]:[Soci Comedores Pensionados Jubl]])</f>
        <v>120234</v>
      </c>
    </row>
    <row r="158" spans="1:12" x14ac:dyDescent="0.3">
      <c r="A158" s="2">
        <v>2017</v>
      </c>
      <c r="B158" t="s">
        <v>47</v>
      </c>
      <c r="C158" s="2">
        <v>67230</v>
      </c>
      <c r="D158" s="2">
        <v>29210</v>
      </c>
      <c r="E158" s="2">
        <v>0</v>
      </c>
      <c r="F158" s="2">
        <v>5</v>
      </c>
      <c r="G158" s="2">
        <v>9461</v>
      </c>
      <c r="H158" s="2">
        <v>3608</v>
      </c>
      <c r="I158" s="2">
        <v>10177</v>
      </c>
      <c r="J158" s="2">
        <v>0</v>
      </c>
      <c r="K158" s="1">
        <v>42736</v>
      </c>
      <c r="L158" s="2">
        <f>SUM(Tabla1[[#This Row],[Serv. Culturales Derecho Hab Publ]:[Soci Comedores Pensionados Jubl]])</f>
        <v>119691</v>
      </c>
    </row>
    <row r="159" spans="1:12" x14ac:dyDescent="0.3">
      <c r="A159" s="2">
        <v>2013</v>
      </c>
      <c r="B159" t="s">
        <v>6</v>
      </c>
      <c r="C159" s="2">
        <v>39497</v>
      </c>
      <c r="D159" s="2">
        <v>57939</v>
      </c>
      <c r="E159" s="2">
        <v>0</v>
      </c>
      <c r="F159" s="2">
        <v>165</v>
      </c>
      <c r="G159" s="2">
        <v>11111</v>
      </c>
      <c r="H159" s="2">
        <v>2543</v>
      </c>
      <c r="I159" s="2">
        <v>7611</v>
      </c>
      <c r="J159" s="2">
        <v>0</v>
      </c>
      <c r="K159" s="1">
        <v>41275</v>
      </c>
      <c r="L159" s="2">
        <f>SUM(Tabla1[[#This Row],[Serv. Culturales Derecho Hab Publ]:[Soci Comedores Pensionados Jubl]])</f>
        <v>118866</v>
      </c>
    </row>
    <row r="160" spans="1:12" x14ac:dyDescent="0.3">
      <c r="A160" s="2">
        <v>2019</v>
      </c>
      <c r="B160" t="s">
        <v>26</v>
      </c>
      <c r="C160" s="2">
        <v>0</v>
      </c>
      <c r="D160" s="2">
        <v>0</v>
      </c>
      <c r="E160" s="2">
        <v>91806</v>
      </c>
      <c r="F160" s="2">
        <v>0</v>
      </c>
      <c r="G160" s="2">
        <v>0</v>
      </c>
      <c r="H160" s="2">
        <v>0</v>
      </c>
      <c r="I160" s="2">
        <v>0</v>
      </c>
      <c r="J160" s="2">
        <v>25685</v>
      </c>
      <c r="K160" s="1">
        <v>43466</v>
      </c>
      <c r="L160" s="2">
        <f>SUM(Tabla1[[#This Row],[Serv. Culturales Derecho Hab Publ]:[Soci Comedores Pensionados Jubl]])</f>
        <v>117491</v>
      </c>
    </row>
    <row r="161" spans="1:12" x14ac:dyDescent="0.3">
      <c r="A161" s="2">
        <v>2016</v>
      </c>
      <c r="B161" t="s">
        <v>23</v>
      </c>
      <c r="C161" s="2">
        <v>90445</v>
      </c>
      <c r="D161" s="2">
        <v>0</v>
      </c>
      <c r="E161" s="2">
        <v>0</v>
      </c>
      <c r="F161" s="2">
        <v>0</v>
      </c>
      <c r="G161" s="2">
        <v>8785</v>
      </c>
      <c r="H161" s="2">
        <v>9620</v>
      </c>
      <c r="I161" s="2">
        <v>8454</v>
      </c>
      <c r="J161" s="2">
        <v>0</v>
      </c>
      <c r="K161" s="1">
        <v>42370</v>
      </c>
      <c r="L161" s="2">
        <f>SUM(Tabla1[[#This Row],[Serv. Culturales Derecho Hab Publ]:[Soci Comedores Pensionados Jubl]])</f>
        <v>117304</v>
      </c>
    </row>
    <row r="162" spans="1:12" x14ac:dyDescent="0.3">
      <c r="A162" s="2">
        <v>2017</v>
      </c>
      <c r="B162" t="s">
        <v>4</v>
      </c>
      <c r="C162" s="2">
        <v>68319</v>
      </c>
      <c r="D162" s="2">
        <v>30959</v>
      </c>
      <c r="E162" s="2">
        <v>0</v>
      </c>
      <c r="F162" s="2">
        <v>84</v>
      </c>
      <c r="G162" s="2">
        <v>6429</v>
      </c>
      <c r="H162" s="2">
        <v>1386</v>
      </c>
      <c r="I162" s="2">
        <v>9633</v>
      </c>
      <c r="J162" s="2">
        <v>0</v>
      </c>
      <c r="K162" s="1">
        <v>42736</v>
      </c>
      <c r="L162" s="2">
        <f>SUM(Tabla1[[#This Row],[Serv. Culturales Derecho Hab Publ]:[Soci Comedores Pensionados Jubl]])</f>
        <v>116810</v>
      </c>
    </row>
    <row r="163" spans="1:12" x14ac:dyDescent="0.3">
      <c r="A163" s="2">
        <v>2019</v>
      </c>
      <c r="B163" t="s">
        <v>2</v>
      </c>
      <c r="C163" s="2">
        <v>55339</v>
      </c>
      <c r="D163" s="2">
        <v>40337</v>
      </c>
      <c r="E163" s="2">
        <v>0</v>
      </c>
      <c r="F163" s="2">
        <v>46</v>
      </c>
      <c r="G163" s="2">
        <v>7785</v>
      </c>
      <c r="H163" s="2">
        <v>4750</v>
      </c>
      <c r="I163" s="2">
        <v>8162</v>
      </c>
      <c r="J163" s="2">
        <v>0</v>
      </c>
      <c r="K163" s="1">
        <v>43466</v>
      </c>
      <c r="L163" s="2">
        <f>SUM(Tabla1[[#This Row],[Serv. Culturales Derecho Hab Publ]:[Soci Comedores Pensionados Jubl]])</f>
        <v>116419</v>
      </c>
    </row>
    <row r="164" spans="1:12" x14ac:dyDescent="0.3">
      <c r="A164" s="2">
        <v>2018</v>
      </c>
      <c r="B164" t="s">
        <v>12</v>
      </c>
      <c r="C164" s="2">
        <v>84731</v>
      </c>
      <c r="D164" s="2">
        <v>18619</v>
      </c>
      <c r="E164" s="2">
        <v>0</v>
      </c>
      <c r="F164" s="2">
        <v>62</v>
      </c>
      <c r="G164" s="2">
        <v>1803</v>
      </c>
      <c r="H164" s="2">
        <v>5039</v>
      </c>
      <c r="I164" s="2">
        <v>5945</v>
      </c>
      <c r="J164" s="2">
        <v>0</v>
      </c>
      <c r="K164" s="1">
        <v>43101</v>
      </c>
      <c r="L164" s="2">
        <f>SUM(Tabla1[[#This Row],[Serv. Culturales Derecho Hab Publ]:[Soci Comedores Pensionados Jubl]])</f>
        <v>116199</v>
      </c>
    </row>
    <row r="165" spans="1:12" x14ac:dyDescent="0.3">
      <c r="A165" s="2">
        <v>2018</v>
      </c>
      <c r="B165" t="s">
        <v>13</v>
      </c>
      <c r="C165" s="2">
        <v>50722</v>
      </c>
      <c r="D165" s="2">
        <v>56171</v>
      </c>
      <c r="E165" s="2">
        <v>0</v>
      </c>
      <c r="F165" s="2">
        <v>249</v>
      </c>
      <c r="G165" s="2">
        <v>2904</v>
      </c>
      <c r="H165" s="2">
        <v>3292</v>
      </c>
      <c r="I165" s="2">
        <v>2030</v>
      </c>
      <c r="J165" s="2">
        <v>0</v>
      </c>
      <c r="K165" s="1">
        <v>43101</v>
      </c>
      <c r="L165" s="2">
        <f>SUM(Tabla1[[#This Row],[Serv. Culturales Derecho Hab Publ]:[Soci Comedores Pensionados Jubl]])</f>
        <v>115368</v>
      </c>
    </row>
    <row r="166" spans="1:12" x14ac:dyDescent="0.3">
      <c r="A166" s="2">
        <v>2015</v>
      </c>
      <c r="B166" t="s">
        <v>22</v>
      </c>
      <c r="C166" s="2">
        <v>59809</v>
      </c>
      <c r="D166" s="2">
        <v>47295</v>
      </c>
      <c r="E166" s="2">
        <v>0</v>
      </c>
      <c r="F166" s="2">
        <v>58</v>
      </c>
      <c r="G166" s="2">
        <v>3934</v>
      </c>
      <c r="H166" s="2">
        <v>1675</v>
      </c>
      <c r="I166" s="2">
        <v>2091</v>
      </c>
      <c r="J166" s="2">
        <v>0</v>
      </c>
      <c r="K166" s="1">
        <v>42005</v>
      </c>
      <c r="L166" s="2">
        <f>SUM(Tabla1[[#This Row],[Serv. Culturales Derecho Hab Publ]:[Soci Comedores Pensionados Jubl]])</f>
        <v>114862</v>
      </c>
    </row>
    <row r="167" spans="1:12" x14ac:dyDescent="0.3">
      <c r="A167" s="2">
        <v>2019</v>
      </c>
      <c r="B167" t="s">
        <v>12</v>
      </c>
      <c r="C167" s="2">
        <v>79641</v>
      </c>
      <c r="D167" s="2">
        <v>21918</v>
      </c>
      <c r="E167" s="2">
        <v>0</v>
      </c>
      <c r="F167" s="2">
        <v>72</v>
      </c>
      <c r="G167" s="2">
        <v>1349</v>
      </c>
      <c r="H167" s="2">
        <v>5676</v>
      </c>
      <c r="I167" s="2">
        <v>4732</v>
      </c>
      <c r="J167" s="2">
        <v>0</v>
      </c>
      <c r="K167" s="1">
        <v>43466</v>
      </c>
      <c r="L167" s="2">
        <f>SUM(Tabla1[[#This Row],[Serv. Culturales Derecho Hab Publ]:[Soci Comedores Pensionados Jubl]])</f>
        <v>113388</v>
      </c>
    </row>
    <row r="168" spans="1:12" x14ac:dyDescent="0.3">
      <c r="A168" s="2">
        <v>2014</v>
      </c>
      <c r="B168" t="s">
        <v>11</v>
      </c>
      <c r="C168" s="2">
        <v>50549</v>
      </c>
      <c r="D168" s="2">
        <v>40021</v>
      </c>
      <c r="E168" s="2">
        <v>0</v>
      </c>
      <c r="F168" s="2">
        <v>447</v>
      </c>
      <c r="G168" s="2">
        <v>11373</v>
      </c>
      <c r="H168" s="2">
        <v>3200</v>
      </c>
      <c r="I168" s="2">
        <v>7721</v>
      </c>
      <c r="J168" s="2">
        <v>0</v>
      </c>
      <c r="K168" s="1">
        <v>41640</v>
      </c>
      <c r="L168" s="2">
        <f>SUM(Tabla1[[#This Row],[Serv. Culturales Derecho Hab Publ]:[Soci Comedores Pensionados Jubl]])</f>
        <v>113311</v>
      </c>
    </row>
    <row r="169" spans="1:12" x14ac:dyDescent="0.3">
      <c r="A169" s="2">
        <v>2013</v>
      </c>
      <c r="B169" t="s">
        <v>11</v>
      </c>
      <c r="C169" s="2">
        <v>43939</v>
      </c>
      <c r="D169" s="2">
        <v>36767</v>
      </c>
      <c r="E169" s="2">
        <v>0</v>
      </c>
      <c r="F169" s="2">
        <v>377</v>
      </c>
      <c r="G169" s="2">
        <v>22123</v>
      </c>
      <c r="H169" s="2">
        <v>3158</v>
      </c>
      <c r="I169" s="2">
        <v>6904</v>
      </c>
      <c r="J169" s="2">
        <v>0</v>
      </c>
      <c r="K169" s="1">
        <v>41275</v>
      </c>
      <c r="L169" s="2">
        <f>SUM(Tabla1[[#This Row],[Serv. Culturales Derecho Hab Publ]:[Soci Comedores Pensionados Jubl]])</f>
        <v>113268</v>
      </c>
    </row>
    <row r="170" spans="1:12" x14ac:dyDescent="0.3">
      <c r="A170" s="2">
        <v>2013</v>
      </c>
      <c r="B170" t="s">
        <v>46</v>
      </c>
      <c r="C170" s="2">
        <v>81763</v>
      </c>
      <c r="D170" s="2">
        <v>22479</v>
      </c>
      <c r="E170" s="2">
        <v>0</v>
      </c>
      <c r="F170" s="2">
        <v>3845</v>
      </c>
      <c r="G170" s="2">
        <v>0</v>
      </c>
      <c r="H170" s="2">
        <v>2378</v>
      </c>
      <c r="I170" s="2">
        <v>2488</v>
      </c>
      <c r="J170" s="2">
        <v>0</v>
      </c>
      <c r="K170" s="1">
        <v>41275</v>
      </c>
      <c r="L170" s="2">
        <f>SUM(Tabla1[[#This Row],[Serv. Culturales Derecho Hab Publ]:[Soci Comedores Pensionados Jubl]])</f>
        <v>112953</v>
      </c>
    </row>
    <row r="171" spans="1:12" x14ac:dyDescent="0.3">
      <c r="A171" s="2">
        <v>2019</v>
      </c>
      <c r="B171" t="s">
        <v>22</v>
      </c>
      <c r="C171" s="2">
        <v>55111</v>
      </c>
      <c r="D171" s="2">
        <v>48337</v>
      </c>
      <c r="E171" s="2">
        <v>0</v>
      </c>
      <c r="F171" s="2">
        <v>70</v>
      </c>
      <c r="G171" s="2">
        <v>3376</v>
      </c>
      <c r="H171" s="2">
        <v>4214</v>
      </c>
      <c r="I171" s="2">
        <v>1477</v>
      </c>
      <c r="J171" s="2">
        <v>0</v>
      </c>
      <c r="K171" s="1">
        <v>43466</v>
      </c>
      <c r="L171" s="2">
        <f>SUM(Tabla1[[#This Row],[Serv. Culturales Derecho Hab Publ]:[Soci Comedores Pensionados Jubl]])</f>
        <v>112585</v>
      </c>
    </row>
    <row r="172" spans="1:12" x14ac:dyDescent="0.3">
      <c r="A172" s="2">
        <v>2017</v>
      </c>
      <c r="B172" t="s">
        <v>26</v>
      </c>
      <c r="C172" s="2">
        <v>0</v>
      </c>
      <c r="D172" s="2">
        <v>0</v>
      </c>
      <c r="E172" s="2">
        <v>80090</v>
      </c>
      <c r="F172" s="2">
        <v>0</v>
      </c>
      <c r="G172" s="2">
        <v>0</v>
      </c>
      <c r="H172" s="2">
        <v>0</v>
      </c>
      <c r="I172" s="2">
        <v>10068</v>
      </c>
      <c r="J172" s="2">
        <v>21686</v>
      </c>
      <c r="K172" s="1">
        <v>42736</v>
      </c>
      <c r="L172" s="2">
        <f>SUM(Tabla1[[#This Row],[Serv. Culturales Derecho Hab Publ]:[Soci Comedores Pensionados Jubl]])</f>
        <v>111844</v>
      </c>
    </row>
    <row r="173" spans="1:12" x14ac:dyDescent="0.3">
      <c r="A173" s="2">
        <v>2013</v>
      </c>
      <c r="B173" t="s">
        <v>1</v>
      </c>
      <c r="C173" s="2">
        <v>63172</v>
      </c>
      <c r="D173" s="2">
        <v>35382</v>
      </c>
      <c r="E173" s="2">
        <v>0</v>
      </c>
      <c r="F173" s="2">
        <v>86</v>
      </c>
      <c r="G173" s="2">
        <v>1055</v>
      </c>
      <c r="H173" s="2">
        <v>1605</v>
      </c>
      <c r="I173" s="2">
        <v>10342</v>
      </c>
      <c r="J173" s="2">
        <v>0</v>
      </c>
      <c r="K173" s="1">
        <v>41275</v>
      </c>
      <c r="L173" s="2">
        <f>SUM(Tabla1[[#This Row],[Serv. Culturales Derecho Hab Publ]:[Soci Comedores Pensionados Jubl]])</f>
        <v>111642</v>
      </c>
    </row>
    <row r="174" spans="1:12" x14ac:dyDescent="0.3">
      <c r="A174" s="2">
        <v>2016</v>
      </c>
      <c r="B174" t="s">
        <v>27</v>
      </c>
      <c r="C174" s="2">
        <v>84266</v>
      </c>
      <c r="D174" s="2">
        <v>0</v>
      </c>
      <c r="E174" s="2">
        <v>0</v>
      </c>
      <c r="F174" s="2">
        <v>0</v>
      </c>
      <c r="G174" s="2">
        <v>2728</v>
      </c>
      <c r="H174" s="2">
        <v>13838</v>
      </c>
      <c r="I174" s="2">
        <v>9480</v>
      </c>
      <c r="J174" s="2">
        <v>0</v>
      </c>
      <c r="K174" s="1">
        <v>42370</v>
      </c>
      <c r="L174" s="2">
        <f>SUM(Tabla1[[#This Row],[Serv. Culturales Derecho Hab Publ]:[Soci Comedores Pensionados Jubl]])</f>
        <v>110312</v>
      </c>
    </row>
    <row r="175" spans="1:12" x14ac:dyDescent="0.3">
      <c r="A175" s="2">
        <v>2015</v>
      </c>
      <c r="B175" t="s">
        <v>26</v>
      </c>
      <c r="C175" s="2">
        <v>0</v>
      </c>
      <c r="D175" s="2">
        <v>0</v>
      </c>
      <c r="E175" s="2">
        <v>81804</v>
      </c>
      <c r="F175" s="2">
        <v>0</v>
      </c>
      <c r="G175" s="2">
        <v>0</v>
      </c>
      <c r="H175" s="2">
        <v>0</v>
      </c>
      <c r="I175" s="2">
        <v>0</v>
      </c>
      <c r="J175" s="2">
        <v>28158</v>
      </c>
      <c r="K175" s="1">
        <v>42005</v>
      </c>
      <c r="L175" s="2">
        <f>SUM(Tabla1[[#This Row],[Serv. Culturales Derecho Hab Publ]:[Soci Comedores Pensionados Jubl]])</f>
        <v>109962</v>
      </c>
    </row>
    <row r="176" spans="1:12" x14ac:dyDescent="0.3">
      <c r="A176" s="2">
        <v>2018</v>
      </c>
      <c r="B176" t="s">
        <v>8</v>
      </c>
      <c r="C176" s="2">
        <v>37452</v>
      </c>
      <c r="D176" s="2">
        <v>46664</v>
      </c>
      <c r="E176" s="2">
        <v>0</v>
      </c>
      <c r="F176" s="2">
        <v>108</v>
      </c>
      <c r="G176" s="2">
        <v>4111</v>
      </c>
      <c r="H176" s="2">
        <v>3037</v>
      </c>
      <c r="I176" s="2">
        <v>18098</v>
      </c>
      <c r="J176" s="2">
        <v>0</v>
      </c>
      <c r="K176" s="1">
        <v>43101</v>
      </c>
      <c r="L176" s="2">
        <f>SUM(Tabla1[[#This Row],[Serv. Culturales Derecho Hab Publ]:[Soci Comedores Pensionados Jubl]])</f>
        <v>109470</v>
      </c>
    </row>
    <row r="177" spans="1:12" x14ac:dyDescent="0.3">
      <c r="A177" s="2">
        <v>2016</v>
      </c>
      <c r="B177" t="s">
        <v>12</v>
      </c>
      <c r="C177" s="2">
        <v>90000</v>
      </c>
      <c r="D177" s="2">
        <v>0</v>
      </c>
      <c r="E177" s="2">
        <v>0</v>
      </c>
      <c r="F177" s="2">
        <v>0</v>
      </c>
      <c r="G177" s="2">
        <v>1835</v>
      </c>
      <c r="H177" s="2">
        <v>3249</v>
      </c>
      <c r="I177" s="2">
        <v>14083</v>
      </c>
      <c r="J177" s="2">
        <v>0</v>
      </c>
      <c r="K177" s="1">
        <v>42370</v>
      </c>
      <c r="L177" s="2">
        <f>SUM(Tabla1[[#This Row],[Serv. Culturales Derecho Hab Publ]:[Soci Comedores Pensionados Jubl]])</f>
        <v>109167</v>
      </c>
    </row>
    <row r="178" spans="1:12" x14ac:dyDescent="0.3">
      <c r="A178" s="2">
        <v>2018</v>
      </c>
      <c r="B178" t="s">
        <v>5</v>
      </c>
      <c r="C178" s="2">
        <v>58020</v>
      </c>
      <c r="D178" s="2">
        <v>20673</v>
      </c>
      <c r="E178" s="2">
        <v>0</v>
      </c>
      <c r="F178" s="2">
        <v>153</v>
      </c>
      <c r="G178" s="2">
        <v>2074</v>
      </c>
      <c r="H178" s="2">
        <v>14528</v>
      </c>
      <c r="I178" s="2">
        <v>13402</v>
      </c>
      <c r="J178" s="2">
        <v>0</v>
      </c>
      <c r="K178" s="1">
        <v>43101</v>
      </c>
      <c r="L178" s="2">
        <f>SUM(Tabla1[[#This Row],[Serv. Culturales Derecho Hab Publ]:[Soci Comedores Pensionados Jubl]])</f>
        <v>108850</v>
      </c>
    </row>
    <row r="179" spans="1:12" x14ac:dyDescent="0.3">
      <c r="A179" s="2">
        <v>2013</v>
      </c>
      <c r="B179" t="s">
        <v>22</v>
      </c>
      <c r="C179" s="2">
        <v>40535</v>
      </c>
      <c r="D179" s="2">
        <v>58583</v>
      </c>
      <c r="E179" s="2">
        <v>0</v>
      </c>
      <c r="F179" s="2">
        <v>76</v>
      </c>
      <c r="G179" s="2">
        <v>3455</v>
      </c>
      <c r="H179" s="2">
        <v>4384</v>
      </c>
      <c r="I179" s="2">
        <v>1263</v>
      </c>
      <c r="J179" s="2">
        <v>0</v>
      </c>
      <c r="K179" s="1">
        <v>41275</v>
      </c>
      <c r="L179" s="2">
        <f>SUM(Tabla1[[#This Row],[Serv. Culturales Derecho Hab Publ]:[Soci Comedores Pensionados Jubl]])</f>
        <v>108296</v>
      </c>
    </row>
    <row r="180" spans="1:12" x14ac:dyDescent="0.3">
      <c r="A180" s="2">
        <v>2015</v>
      </c>
      <c r="B180" t="s">
        <v>49</v>
      </c>
      <c r="C180" s="2">
        <v>38881</v>
      </c>
      <c r="D180" s="2">
        <v>48376</v>
      </c>
      <c r="E180" s="2">
        <v>0</v>
      </c>
      <c r="F180" s="2">
        <v>13</v>
      </c>
      <c r="G180" s="2">
        <v>9292</v>
      </c>
      <c r="H180" s="2">
        <v>3332</v>
      </c>
      <c r="I180" s="2">
        <v>8359</v>
      </c>
      <c r="J180" s="2">
        <v>0</v>
      </c>
      <c r="K180" s="1">
        <v>42005</v>
      </c>
      <c r="L180" s="2">
        <f>SUM(Tabla1[[#This Row],[Serv. Culturales Derecho Hab Publ]:[Soci Comedores Pensionados Jubl]])</f>
        <v>108253</v>
      </c>
    </row>
    <row r="181" spans="1:12" x14ac:dyDescent="0.3">
      <c r="A181" s="2">
        <v>2015</v>
      </c>
      <c r="B181" t="s">
        <v>8</v>
      </c>
      <c r="C181" s="2">
        <v>33575</v>
      </c>
      <c r="D181" s="2">
        <v>64023</v>
      </c>
      <c r="E181" s="2">
        <v>0</v>
      </c>
      <c r="F181" s="2">
        <v>61</v>
      </c>
      <c r="G181" s="2">
        <v>595</v>
      </c>
      <c r="H181" s="2">
        <v>2319</v>
      </c>
      <c r="I181" s="2">
        <v>7316</v>
      </c>
      <c r="J181" s="2">
        <v>0</v>
      </c>
      <c r="K181" s="1">
        <v>42005</v>
      </c>
      <c r="L181" s="2">
        <f>SUM(Tabla1[[#This Row],[Serv. Culturales Derecho Hab Publ]:[Soci Comedores Pensionados Jubl]])</f>
        <v>107889</v>
      </c>
    </row>
    <row r="182" spans="1:12" x14ac:dyDescent="0.3">
      <c r="A182" s="2">
        <v>2017</v>
      </c>
      <c r="B182" t="s">
        <v>12</v>
      </c>
      <c r="C182" s="2">
        <v>81174</v>
      </c>
      <c r="D182" s="2">
        <v>14002</v>
      </c>
      <c r="E182" s="2">
        <v>0</v>
      </c>
      <c r="F182" s="2">
        <v>54</v>
      </c>
      <c r="G182" s="2">
        <v>2028</v>
      </c>
      <c r="H182" s="2">
        <v>4451</v>
      </c>
      <c r="I182" s="2">
        <v>6015</v>
      </c>
      <c r="J182" s="2">
        <v>0</v>
      </c>
      <c r="K182" s="1">
        <v>42736</v>
      </c>
      <c r="L182" s="2">
        <f>SUM(Tabla1[[#This Row],[Serv. Culturales Derecho Hab Publ]:[Soci Comedores Pensionados Jubl]])</f>
        <v>107724</v>
      </c>
    </row>
    <row r="183" spans="1:12" x14ac:dyDescent="0.3">
      <c r="A183" s="2">
        <v>2013</v>
      </c>
      <c r="B183" t="s">
        <v>49</v>
      </c>
      <c r="C183" s="2">
        <v>34708</v>
      </c>
      <c r="D183" s="2">
        <v>43956</v>
      </c>
      <c r="E183" s="2">
        <v>0</v>
      </c>
      <c r="F183" s="2">
        <v>47</v>
      </c>
      <c r="G183" s="2">
        <v>12766</v>
      </c>
      <c r="H183" s="2">
        <v>3459</v>
      </c>
      <c r="I183" s="2">
        <v>12622</v>
      </c>
      <c r="J183" s="2">
        <v>0</v>
      </c>
      <c r="K183" s="1">
        <v>41275</v>
      </c>
      <c r="L183" s="2">
        <f>SUM(Tabla1[[#This Row],[Serv. Culturales Derecho Hab Publ]:[Soci Comedores Pensionados Jubl]])</f>
        <v>107558</v>
      </c>
    </row>
    <row r="184" spans="1:12" x14ac:dyDescent="0.3">
      <c r="A184" s="2">
        <v>2018</v>
      </c>
      <c r="B184" t="s">
        <v>17</v>
      </c>
      <c r="C184" s="2">
        <v>67576</v>
      </c>
      <c r="D184" s="2">
        <v>15854</v>
      </c>
      <c r="E184" s="2">
        <v>0</v>
      </c>
      <c r="F184" s="2">
        <v>0</v>
      </c>
      <c r="G184" s="2">
        <v>13449</v>
      </c>
      <c r="H184" s="2">
        <v>1537</v>
      </c>
      <c r="I184" s="2">
        <v>8196</v>
      </c>
      <c r="J184" s="2">
        <v>0</v>
      </c>
      <c r="K184" s="1">
        <v>43101</v>
      </c>
      <c r="L184" s="2">
        <f>SUM(Tabla1[[#This Row],[Serv. Culturales Derecho Hab Publ]:[Soci Comedores Pensionados Jubl]])</f>
        <v>106612</v>
      </c>
    </row>
    <row r="185" spans="1:12" x14ac:dyDescent="0.3">
      <c r="A185" s="2">
        <v>2019</v>
      </c>
      <c r="B185" t="s">
        <v>8</v>
      </c>
      <c r="C185" s="2">
        <v>56113</v>
      </c>
      <c r="D185" s="2">
        <v>39688</v>
      </c>
      <c r="E185" s="2">
        <v>0</v>
      </c>
      <c r="F185" s="2">
        <v>119</v>
      </c>
      <c r="G185" s="2">
        <v>295</v>
      </c>
      <c r="H185" s="2">
        <v>1956</v>
      </c>
      <c r="I185" s="2">
        <v>7471</v>
      </c>
      <c r="J185" s="2">
        <v>0</v>
      </c>
      <c r="K185" s="1">
        <v>43466</v>
      </c>
      <c r="L185" s="2">
        <f>SUM(Tabla1[[#This Row],[Serv. Culturales Derecho Hab Publ]:[Soci Comedores Pensionados Jubl]])</f>
        <v>105642</v>
      </c>
    </row>
    <row r="186" spans="1:12" x14ac:dyDescent="0.3">
      <c r="A186" s="2">
        <v>2017</v>
      </c>
      <c r="B186" t="s">
        <v>13</v>
      </c>
      <c r="C186" s="2">
        <v>46665</v>
      </c>
      <c r="D186" s="2">
        <v>49605</v>
      </c>
      <c r="E186" s="2">
        <v>0</v>
      </c>
      <c r="F186" s="2">
        <v>265</v>
      </c>
      <c r="G186" s="2">
        <v>2488</v>
      </c>
      <c r="H186" s="2">
        <v>3296</v>
      </c>
      <c r="I186" s="2">
        <v>3096</v>
      </c>
      <c r="J186" s="2">
        <v>0</v>
      </c>
      <c r="K186" s="1">
        <v>42736</v>
      </c>
      <c r="L186" s="2">
        <f>SUM(Tabla1[[#This Row],[Serv. Culturales Derecho Hab Publ]:[Soci Comedores Pensionados Jubl]])</f>
        <v>105415</v>
      </c>
    </row>
    <row r="187" spans="1:12" x14ac:dyDescent="0.3">
      <c r="A187" s="2">
        <v>2017</v>
      </c>
      <c r="B187" t="s">
        <v>17</v>
      </c>
      <c r="C187" s="2">
        <v>67339</v>
      </c>
      <c r="D187" s="2">
        <v>15312</v>
      </c>
      <c r="E187" s="2">
        <v>0</v>
      </c>
      <c r="F187" s="2">
        <v>0</v>
      </c>
      <c r="G187" s="2">
        <v>12669</v>
      </c>
      <c r="H187" s="2">
        <v>1521</v>
      </c>
      <c r="I187" s="2">
        <v>8259</v>
      </c>
      <c r="J187" s="2">
        <v>0</v>
      </c>
      <c r="K187" s="1">
        <v>42736</v>
      </c>
      <c r="L187" s="2">
        <f>SUM(Tabla1[[#This Row],[Serv. Culturales Derecho Hab Publ]:[Soci Comedores Pensionados Jubl]])</f>
        <v>105100</v>
      </c>
    </row>
    <row r="188" spans="1:12" x14ac:dyDescent="0.3">
      <c r="A188" s="2">
        <v>2014</v>
      </c>
      <c r="B188" t="s">
        <v>26</v>
      </c>
      <c r="C188" s="2">
        <v>0</v>
      </c>
      <c r="D188" s="2">
        <v>0</v>
      </c>
      <c r="E188" s="2">
        <v>78209</v>
      </c>
      <c r="F188" s="2">
        <v>0</v>
      </c>
      <c r="G188" s="2">
        <v>0</v>
      </c>
      <c r="H188" s="2">
        <v>0</v>
      </c>
      <c r="I188" s="2">
        <v>0</v>
      </c>
      <c r="J188" s="2">
        <v>25886</v>
      </c>
      <c r="K188" s="1">
        <v>41640</v>
      </c>
      <c r="L188" s="2">
        <f>SUM(Tabla1[[#This Row],[Serv. Culturales Derecho Hab Publ]:[Soci Comedores Pensionados Jubl]])</f>
        <v>104095</v>
      </c>
    </row>
    <row r="189" spans="1:12" x14ac:dyDescent="0.3">
      <c r="A189" s="2">
        <v>2016</v>
      </c>
      <c r="B189" t="s">
        <v>21</v>
      </c>
      <c r="C189" s="2">
        <v>85891</v>
      </c>
      <c r="D189" s="2">
        <v>0</v>
      </c>
      <c r="E189" s="2">
        <v>0</v>
      </c>
      <c r="F189" s="2">
        <v>0</v>
      </c>
      <c r="G189" s="2">
        <v>6991</v>
      </c>
      <c r="H189" s="2">
        <v>2198</v>
      </c>
      <c r="I189" s="2">
        <v>7513</v>
      </c>
      <c r="J189" s="2">
        <v>0</v>
      </c>
      <c r="K189" s="1">
        <v>42370</v>
      </c>
      <c r="L189" s="2">
        <f>SUM(Tabla1[[#This Row],[Serv. Culturales Derecho Hab Publ]:[Soci Comedores Pensionados Jubl]])</f>
        <v>102593</v>
      </c>
    </row>
    <row r="190" spans="1:12" x14ac:dyDescent="0.3">
      <c r="A190" s="2">
        <v>2018</v>
      </c>
      <c r="B190" t="s">
        <v>26</v>
      </c>
      <c r="C190" s="2">
        <v>0</v>
      </c>
      <c r="D190" s="2">
        <v>0</v>
      </c>
      <c r="E190" s="2">
        <v>70174</v>
      </c>
      <c r="F190" s="2">
        <v>0</v>
      </c>
      <c r="G190" s="2">
        <v>0</v>
      </c>
      <c r="H190" s="2">
        <v>0</v>
      </c>
      <c r="I190" s="2">
        <v>9847</v>
      </c>
      <c r="J190" s="2">
        <v>21052</v>
      </c>
      <c r="K190" s="1">
        <v>43101</v>
      </c>
      <c r="L190" s="2">
        <f>SUM(Tabla1[[#This Row],[Serv. Culturales Derecho Hab Publ]:[Soci Comedores Pensionados Jubl]])</f>
        <v>101073</v>
      </c>
    </row>
    <row r="191" spans="1:12" x14ac:dyDescent="0.3">
      <c r="A191" s="2">
        <v>2016</v>
      </c>
      <c r="B191" t="s">
        <v>48</v>
      </c>
      <c r="C191" s="2">
        <v>87877</v>
      </c>
      <c r="D191" s="2">
        <v>0</v>
      </c>
      <c r="E191" s="2">
        <v>0</v>
      </c>
      <c r="F191" s="2">
        <v>0</v>
      </c>
      <c r="G191" s="2">
        <v>3604</v>
      </c>
      <c r="H191" s="2">
        <v>1729</v>
      </c>
      <c r="I191" s="2">
        <v>7167</v>
      </c>
      <c r="J191" s="2">
        <v>0</v>
      </c>
      <c r="K191" s="1">
        <v>42370</v>
      </c>
      <c r="L191" s="2">
        <f>SUM(Tabla1[[#This Row],[Serv. Culturales Derecho Hab Publ]:[Soci Comedores Pensionados Jubl]])</f>
        <v>100377</v>
      </c>
    </row>
    <row r="192" spans="1:12" x14ac:dyDescent="0.3">
      <c r="A192" s="2">
        <v>2014</v>
      </c>
      <c r="B192" t="s">
        <v>18</v>
      </c>
      <c r="C192" s="2">
        <v>68395</v>
      </c>
      <c r="D192" s="2">
        <v>17727</v>
      </c>
      <c r="E192" s="2">
        <v>0</v>
      </c>
      <c r="F192" s="2">
        <v>56</v>
      </c>
      <c r="G192" s="2">
        <v>3774</v>
      </c>
      <c r="H192" s="2">
        <v>6149</v>
      </c>
      <c r="I192" s="2">
        <v>2724</v>
      </c>
      <c r="J192" s="2">
        <v>0</v>
      </c>
      <c r="K192" s="1">
        <v>41640</v>
      </c>
      <c r="L192" s="2">
        <f>SUM(Tabla1[[#This Row],[Serv. Culturales Derecho Hab Publ]:[Soci Comedores Pensionados Jubl]])</f>
        <v>98825</v>
      </c>
    </row>
    <row r="193" spans="1:12" x14ac:dyDescent="0.3">
      <c r="A193" s="2">
        <v>2019</v>
      </c>
      <c r="B193" t="s">
        <v>18</v>
      </c>
      <c r="C193" s="2">
        <v>69680</v>
      </c>
      <c r="D193" s="2">
        <v>16785</v>
      </c>
      <c r="E193" s="2">
        <v>0</v>
      </c>
      <c r="F193" s="2">
        <v>24</v>
      </c>
      <c r="G193" s="2">
        <v>941</v>
      </c>
      <c r="H193" s="2">
        <v>7849</v>
      </c>
      <c r="I193" s="2">
        <v>3526</v>
      </c>
      <c r="J193" s="2">
        <v>0</v>
      </c>
      <c r="K193" s="1">
        <v>43466</v>
      </c>
      <c r="L193" s="2">
        <f>SUM(Tabla1[[#This Row],[Serv. Culturales Derecho Hab Publ]:[Soci Comedores Pensionados Jubl]])</f>
        <v>98805</v>
      </c>
    </row>
    <row r="194" spans="1:12" x14ac:dyDescent="0.3">
      <c r="A194" s="2">
        <v>2019</v>
      </c>
      <c r="B194" t="s">
        <v>17</v>
      </c>
      <c r="C194" s="2">
        <v>66325</v>
      </c>
      <c r="D194" s="2">
        <v>15752</v>
      </c>
      <c r="E194" s="2">
        <v>0</v>
      </c>
      <c r="F194" s="2">
        <v>0</v>
      </c>
      <c r="G194" s="2">
        <v>5741</v>
      </c>
      <c r="H194" s="2">
        <v>1112</v>
      </c>
      <c r="I194" s="2">
        <v>8290</v>
      </c>
      <c r="J194" s="2">
        <v>0</v>
      </c>
      <c r="K194" s="1">
        <v>43466</v>
      </c>
      <c r="L194" s="2">
        <f>SUM(Tabla1[[#This Row],[Serv. Culturales Derecho Hab Publ]:[Soci Comedores Pensionados Jubl]])</f>
        <v>97220</v>
      </c>
    </row>
    <row r="195" spans="1:12" x14ac:dyDescent="0.3">
      <c r="A195" s="2">
        <v>2014</v>
      </c>
      <c r="B195" t="s">
        <v>49</v>
      </c>
      <c r="C195" s="2">
        <v>41550</v>
      </c>
      <c r="D195" s="2">
        <v>40473</v>
      </c>
      <c r="E195" s="2">
        <v>0</v>
      </c>
      <c r="F195" s="2">
        <v>58</v>
      </c>
      <c r="G195" s="2">
        <v>10584</v>
      </c>
      <c r="H195" s="2">
        <v>3544</v>
      </c>
      <c r="I195" s="2">
        <v>248</v>
      </c>
      <c r="J195" s="2">
        <v>0</v>
      </c>
      <c r="K195" s="1">
        <v>41640</v>
      </c>
      <c r="L195" s="2">
        <f>SUM(Tabla1[[#This Row],[Serv. Culturales Derecho Hab Publ]:[Soci Comedores Pensionados Jubl]])</f>
        <v>96457</v>
      </c>
    </row>
    <row r="196" spans="1:12" x14ac:dyDescent="0.3">
      <c r="A196" s="2">
        <v>2023</v>
      </c>
      <c r="B196" t="s">
        <v>26</v>
      </c>
      <c r="C196" s="2">
        <v>0</v>
      </c>
      <c r="D196" s="2">
        <v>67042</v>
      </c>
      <c r="E196" s="2">
        <v>0</v>
      </c>
      <c r="F196" s="2">
        <v>0</v>
      </c>
      <c r="G196" s="2">
        <v>1789</v>
      </c>
      <c r="H196" s="2">
        <v>0</v>
      </c>
      <c r="I196" s="2">
        <v>0</v>
      </c>
      <c r="J196" s="2">
        <v>27071</v>
      </c>
      <c r="K196" s="1">
        <v>44927</v>
      </c>
      <c r="L196" s="2">
        <f>SUM(Tabla1[[#This Row],[Serv. Culturales Derecho Hab Publ]:[Soci Comedores Pensionados Jubl]])</f>
        <v>95902</v>
      </c>
    </row>
    <row r="197" spans="1:12" x14ac:dyDescent="0.3">
      <c r="A197" s="2">
        <v>2019</v>
      </c>
      <c r="B197" t="s">
        <v>16</v>
      </c>
      <c r="C197" s="2">
        <v>20761</v>
      </c>
      <c r="D197" s="2">
        <v>44029</v>
      </c>
      <c r="E197" s="2">
        <v>0</v>
      </c>
      <c r="F197" s="2">
        <v>0</v>
      </c>
      <c r="G197" s="2">
        <v>18869</v>
      </c>
      <c r="H197" s="2">
        <v>2424</v>
      </c>
      <c r="I197" s="2">
        <v>7744</v>
      </c>
      <c r="J197" s="2">
        <v>0</v>
      </c>
      <c r="K197" s="1">
        <v>43466</v>
      </c>
      <c r="L197" s="2">
        <f>SUM(Tabla1[[#This Row],[Serv. Culturales Derecho Hab Publ]:[Soci Comedores Pensionados Jubl]])</f>
        <v>93827</v>
      </c>
    </row>
    <row r="198" spans="1:12" x14ac:dyDescent="0.3">
      <c r="A198" s="2">
        <v>2016</v>
      </c>
      <c r="B198" t="s">
        <v>10</v>
      </c>
      <c r="C198" s="2">
        <v>81480</v>
      </c>
      <c r="D198" s="2">
        <v>0</v>
      </c>
      <c r="E198" s="2">
        <v>0</v>
      </c>
      <c r="F198" s="2">
        <v>0</v>
      </c>
      <c r="G198" s="2">
        <v>3264</v>
      </c>
      <c r="H198" s="2">
        <v>2247</v>
      </c>
      <c r="I198" s="2">
        <v>6013</v>
      </c>
      <c r="J198" s="2">
        <v>0</v>
      </c>
      <c r="K198" s="1">
        <v>42370</v>
      </c>
      <c r="L198" s="2">
        <f>SUM(Tabla1[[#This Row],[Serv. Culturales Derecho Hab Publ]:[Soci Comedores Pensionados Jubl]])</f>
        <v>93004</v>
      </c>
    </row>
    <row r="199" spans="1:12" x14ac:dyDescent="0.3">
      <c r="A199" s="2">
        <v>2016</v>
      </c>
      <c r="B199" t="s">
        <v>18</v>
      </c>
      <c r="C199" s="2">
        <v>75593</v>
      </c>
      <c r="D199" s="2">
        <v>0</v>
      </c>
      <c r="E199" s="2">
        <v>0</v>
      </c>
      <c r="F199" s="2">
        <v>0</v>
      </c>
      <c r="G199" s="2">
        <v>1392</v>
      </c>
      <c r="H199" s="2">
        <v>5228</v>
      </c>
      <c r="I199" s="2">
        <v>8550</v>
      </c>
      <c r="J199" s="2">
        <v>0</v>
      </c>
      <c r="K199" s="1">
        <v>42370</v>
      </c>
      <c r="L199" s="2">
        <f>SUM(Tabla1[[#This Row],[Serv. Culturales Derecho Hab Publ]:[Soci Comedores Pensionados Jubl]])</f>
        <v>90763</v>
      </c>
    </row>
    <row r="200" spans="1:12" x14ac:dyDescent="0.3">
      <c r="A200" s="2">
        <v>2014</v>
      </c>
      <c r="B200" t="s">
        <v>9</v>
      </c>
      <c r="C200" s="2">
        <v>43644</v>
      </c>
      <c r="D200" s="2">
        <v>39689</v>
      </c>
      <c r="E200" s="2">
        <v>0</v>
      </c>
      <c r="F200" s="2">
        <v>81</v>
      </c>
      <c r="G200" s="2">
        <v>1010</v>
      </c>
      <c r="H200" s="2">
        <v>2168</v>
      </c>
      <c r="I200" s="2">
        <v>3552</v>
      </c>
      <c r="J200" s="2">
        <v>0</v>
      </c>
      <c r="K200" s="1">
        <v>41640</v>
      </c>
      <c r="L200" s="2">
        <f>SUM(Tabla1[[#This Row],[Serv. Culturales Derecho Hab Publ]:[Soci Comedores Pensionados Jubl]])</f>
        <v>90144</v>
      </c>
    </row>
    <row r="201" spans="1:12" x14ac:dyDescent="0.3">
      <c r="A201" s="2">
        <v>2013</v>
      </c>
      <c r="B201" t="s">
        <v>9</v>
      </c>
      <c r="C201" s="2">
        <v>41618</v>
      </c>
      <c r="D201" s="2">
        <v>38573</v>
      </c>
      <c r="E201" s="2">
        <v>0</v>
      </c>
      <c r="F201" s="2">
        <v>72</v>
      </c>
      <c r="G201" s="2">
        <v>890</v>
      </c>
      <c r="H201" s="2">
        <v>3312</v>
      </c>
      <c r="I201" s="2">
        <v>4932</v>
      </c>
      <c r="J201" s="2">
        <v>0</v>
      </c>
      <c r="K201" s="1">
        <v>41275</v>
      </c>
      <c r="L201" s="2">
        <f>SUM(Tabla1[[#This Row],[Serv. Culturales Derecho Hab Publ]:[Soci Comedores Pensionados Jubl]])</f>
        <v>89397</v>
      </c>
    </row>
    <row r="202" spans="1:12" x14ac:dyDescent="0.3">
      <c r="A202" s="2">
        <v>2016</v>
      </c>
      <c r="B202" t="s">
        <v>19</v>
      </c>
      <c r="C202" s="2">
        <v>59027</v>
      </c>
      <c r="D202" s="2">
        <v>0</v>
      </c>
      <c r="E202" s="2">
        <v>0</v>
      </c>
      <c r="F202" s="2">
        <v>0</v>
      </c>
      <c r="G202" s="2">
        <v>8415</v>
      </c>
      <c r="H202" s="2">
        <v>8313</v>
      </c>
      <c r="I202" s="2">
        <v>13188</v>
      </c>
      <c r="J202" s="2">
        <v>0</v>
      </c>
      <c r="K202" s="1">
        <v>42370</v>
      </c>
      <c r="L202" s="2">
        <f>SUM(Tabla1[[#This Row],[Serv. Culturales Derecho Hab Publ]:[Soci Comedores Pensionados Jubl]])</f>
        <v>88943</v>
      </c>
    </row>
    <row r="203" spans="1:12" x14ac:dyDescent="0.3">
      <c r="A203" s="2">
        <v>2013</v>
      </c>
      <c r="B203" t="s">
        <v>0</v>
      </c>
      <c r="C203" s="2">
        <v>38316</v>
      </c>
      <c r="D203" s="2">
        <v>27460</v>
      </c>
      <c r="E203" s="2">
        <v>0</v>
      </c>
      <c r="F203" s="2">
        <v>195</v>
      </c>
      <c r="G203" s="2">
        <v>6844</v>
      </c>
      <c r="H203" s="2">
        <v>3793</v>
      </c>
      <c r="I203" s="2">
        <v>11569</v>
      </c>
      <c r="J203" s="2">
        <v>0</v>
      </c>
      <c r="K203" s="1">
        <v>41275</v>
      </c>
      <c r="L203" s="2">
        <f>SUM(Tabla1[[#This Row],[Serv. Culturales Derecho Hab Publ]:[Soci Comedores Pensionados Jubl]])</f>
        <v>88177</v>
      </c>
    </row>
    <row r="204" spans="1:12" x14ac:dyDescent="0.3">
      <c r="A204" s="2">
        <v>2014</v>
      </c>
      <c r="B204" t="s">
        <v>25</v>
      </c>
      <c r="C204" s="2">
        <v>0</v>
      </c>
      <c r="D204" s="2">
        <v>0</v>
      </c>
      <c r="E204" s="2">
        <v>0</v>
      </c>
      <c r="F204" s="2">
        <v>0</v>
      </c>
      <c r="G204" s="2">
        <v>5077</v>
      </c>
      <c r="H204" s="2">
        <v>0</v>
      </c>
      <c r="I204" s="2">
        <v>15756</v>
      </c>
      <c r="J204" s="2">
        <v>66937</v>
      </c>
      <c r="K204" s="1">
        <v>41640</v>
      </c>
      <c r="L204" s="2">
        <f>SUM(Tabla1[[#This Row],[Serv. Culturales Derecho Hab Publ]:[Soci Comedores Pensionados Jubl]])</f>
        <v>87770</v>
      </c>
    </row>
    <row r="205" spans="1:12" x14ac:dyDescent="0.3">
      <c r="A205" s="2">
        <v>2013</v>
      </c>
      <c r="B205" t="s">
        <v>18</v>
      </c>
      <c r="C205" s="2">
        <v>65564</v>
      </c>
      <c r="D205" s="2">
        <v>13559</v>
      </c>
      <c r="E205" s="2">
        <v>0</v>
      </c>
      <c r="F205" s="2">
        <v>37</v>
      </c>
      <c r="G205" s="2">
        <v>22</v>
      </c>
      <c r="H205" s="2">
        <v>2080</v>
      </c>
      <c r="I205" s="2">
        <v>4577</v>
      </c>
      <c r="J205" s="2">
        <v>0</v>
      </c>
      <c r="K205" s="1">
        <v>41275</v>
      </c>
      <c r="L205" s="2">
        <f>SUM(Tabla1[[#This Row],[Serv. Culturales Derecho Hab Publ]:[Soci Comedores Pensionados Jubl]])</f>
        <v>85839</v>
      </c>
    </row>
    <row r="206" spans="1:12" x14ac:dyDescent="0.3">
      <c r="A206" s="2">
        <v>2019</v>
      </c>
      <c r="B206" t="s">
        <v>9</v>
      </c>
      <c r="C206" s="2">
        <v>41697</v>
      </c>
      <c r="D206" s="2">
        <v>38767</v>
      </c>
      <c r="E206" s="2">
        <v>0</v>
      </c>
      <c r="F206" s="2">
        <v>77</v>
      </c>
      <c r="G206" s="2">
        <v>2070</v>
      </c>
      <c r="H206" s="2">
        <v>2975</v>
      </c>
      <c r="I206" s="2">
        <v>66</v>
      </c>
      <c r="J206" s="2">
        <v>0</v>
      </c>
      <c r="K206" s="1">
        <v>43466</v>
      </c>
      <c r="L206" s="2">
        <f>SUM(Tabla1[[#This Row],[Serv. Culturales Derecho Hab Publ]:[Soci Comedores Pensionados Jubl]])</f>
        <v>85652</v>
      </c>
    </row>
    <row r="207" spans="1:12" x14ac:dyDescent="0.3">
      <c r="A207" s="2">
        <v>2013</v>
      </c>
      <c r="B207" t="s">
        <v>26</v>
      </c>
      <c r="C207" s="2">
        <v>0</v>
      </c>
      <c r="D207" s="2">
        <v>0</v>
      </c>
      <c r="E207" s="2">
        <v>72610</v>
      </c>
      <c r="F207" s="2">
        <v>0</v>
      </c>
      <c r="G207" s="2">
        <v>0</v>
      </c>
      <c r="H207" s="2">
        <v>0</v>
      </c>
      <c r="I207" s="2">
        <v>0</v>
      </c>
      <c r="J207" s="2">
        <v>12735</v>
      </c>
      <c r="K207" s="1">
        <v>41275</v>
      </c>
      <c r="L207" s="2">
        <f>SUM(Tabla1[[#This Row],[Serv. Culturales Derecho Hab Publ]:[Soci Comedores Pensionados Jubl]])</f>
        <v>85345</v>
      </c>
    </row>
    <row r="208" spans="1:12" x14ac:dyDescent="0.3">
      <c r="A208" s="2">
        <v>2019</v>
      </c>
      <c r="B208" t="s">
        <v>33</v>
      </c>
      <c r="C208" s="2">
        <v>2923</v>
      </c>
      <c r="D208" s="2">
        <v>63255</v>
      </c>
      <c r="E208" s="2">
        <v>0</v>
      </c>
      <c r="F208" s="2">
        <v>7</v>
      </c>
      <c r="G208" s="2">
        <v>1779</v>
      </c>
      <c r="H208" s="2">
        <v>15535</v>
      </c>
      <c r="I208" s="2">
        <v>1620</v>
      </c>
      <c r="J208" s="2">
        <v>0</v>
      </c>
      <c r="K208" s="1">
        <v>43466</v>
      </c>
      <c r="L208" s="2">
        <f>SUM(Tabla1[[#This Row],[Serv. Culturales Derecho Hab Publ]:[Soci Comedores Pensionados Jubl]])</f>
        <v>85119</v>
      </c>
    </row>
    <row r="209" spans="1:12" x14ac:dyDescent="0.3">
      <c r="A209" s="2">
        <v>2018</v>
      </c>
      <c r="B209" t="s">
        <v>47</v>
      </c>
      <c r="C209" s="2">
        <v>50676</v>
      </c>
      <c r="D209" s="2">
        <v>17739</v>
      </c>
      <c r="E209" s="2">
        <v>0</v>
      </c>
      <c r="F209" s="2">
        <v>10</v>
      </c>
      <c r="G209" s="2">
        <v>6279</v>
      </c>
      <c r="H209" s="2">
        <v>1779</v>
      </c>
      <c r="I209" s="2">
        <v>8438</v>
      </c>
      <c r="J209" s="2">
        <v>0</v>
      </c>
      <c r="K209" s="1">
        <v>43101</v>
      </c>
      <c r="L209" s="2">
        <f>SUM(Tabla1[[#This Row],[Serv. Culturales Derecho Hab Publ]:[Soci Comedores Pensionados Jubl]])</f>
        <v>84921</v>
      </c>
    </row>
    <row r="210" spans="1:12" x14ac:dyDescent="0.3">
      <c r="A210" s="2">
        <v>2019</v>
      </c>
      <c r="B210" t="s">
        <v>49</v>
      </c>
      <c r="C210" s="2">
        <v>34865</v>
      </c>
      <c r="D210" s="2">
        <v>40744</v>
      </c>
      <c r="E210" s="2">
        <v>0</v>
      </c>
      <c r="F210" s="2">
        <v>6</v>
      </c>
      <c r="G210" s="2">
        <v>3525</v>
      </c>
      <c r="H210" s="2">
        <v>3997</v>
      </c>
      <c r="I210" s="2">
        <v>686</v>
      </c>
      <c r="J210" s="2">
        <v>0</v>
      </c>
      <c r="K210" s="1">
        <v>43466</v>
      </c>
      <c r="L210" s="2">
        <f>SUM(Tabla1[[#This Row],[Serv. Culturales Derecho Hab Publ]:[Soci Comedores Pensionados Jubl]])</f>
        <v>83823</v>
      </c>
    </row>
    <row r="211" spans="1:12" x14ac:dyDescent="0.3">
      <c r="A211" s="2">
        <v>2015</v>
      </c>
      <c r="B211" t="s">
        <v>18</v>
      </c>
      <c r="C211" s="2">
        <v>61553</v>
      </c>
      <c r="D211" s="2">
        <v>14915</v>
      </c>
      <c r="E211" s="2">
        <v>0</v>
      </c>
      <c r="F211" s="2">
        <v>1</v>
      </c>
      <c r="G211" s="2">
        <v>1349</v>
      </c>
      <c r="H211" s="2">
        <v>2233</v>
      </c>
      <c r="I211" s="2">
        <v>3144</v>
      </c>
      <c r="J211" s="2">
        <v>0</v>
      </c>
      <c r="K211" s="1">
        <v>42005</v>
      </c>
      <c r="L211" s="2">
        <f>SUM(Tabla1[[#This Row],[Serv. Culturales Derecho Hab Publ]:[Soci Comedores Pensionados Jubl]])</f>
        <v>83195</v>
      </c>
    </row>
    <row r="212" spans="1:12" x14ac:dyDescent="0.3">
      <c r="A212" s="2">
        <v>2016</v>
      </c>
      <c r="B212" t="s">
        <v>2</v>
      </c>
      <c r="C212" s="2">
        <v>66560</v>
      </c>
      <c r="D212" s="2">
        <v>0</v>
      </c>
      <c r="E212" s="2">
        <v>0</v>
      </c>
      <c r="F212" s="2">
        <v>0</v>
      </c>
      <c r="G212" s="2">
        <v>4602</v>
      </c>
      <c r="H212" s="2">
        <v>3826</v>
      </c>
      <c r="I212" s="2">
        <v>7286</v>
      </c>
      <c r="J212" s="2">
        <v>0</v>
      </c>
      <c r="K212" s="1">
        <v>42370</v>
      </c>
      <c r="L212" s="2">
        <f>SUM(Tabla1[[#This Row],[Serv. Culturales Derecho Hab Publ]:[Soci Comedores Pensionados Jubl]])</f>
        <v>82274</v>
      </c>
    </row>
    <row r="213" spans="1:12" x14ac:dyDescent="0.3">
      <c r="A213" s="2">
        <v>2018</v>
      </c>
      <c r="B213" t="s">
        <v>16</v>
      </c>
      <c r="C213" s="2">
        <v>20901</v>
      </c>
      <c r="D213" s="2">
        <v>43817</v>
      </c>
      <c r="E213" s="2">
        <v>0</v>
      </c>
      <c r="F213" s="2">
        <v>0</v>
      </c>
      <c r="G213" s="2">
        <v>11445</v>
      </c>
      <c r="H213" s="2">
        <v>2252</v>
      </c>
      <c r="I213" s="2">
        <v>3413</v>
      </c>
      <c r="J213" s="2">
        <v>0</v>
      </c>
      <c r="K213" s="1">
        <v>43101</v>
      </c>
      <c r="L213" s="2">
        <f>SUM(Tabla1[[#This Row],[Serv. Culturales Derecho Hab Publ]:[Soci Comedores Pensionados Jubl]])</f>
        <v>81828</v>
      </c>
    </row>
    <row r="214" spans="1:12" x14ac:dyDescent="0.3">
      <c r="A214" s="2">
        <v>2018</v>
      </c>
      <c r="B214" t="s">
        <v>9</v>
      </c>
      <c r="C214" s="2">
        <v>37752</v>
      </c>
      <c r="D214" s="2">
        <v>36828</v>
      </c>
      <c r="E214" s="2">
        <v>0</v>
      </c>
      <c r="F214" s="2">
        <v>86</v>
      </c>
      <c r="G214" s="2">
        <v>2340</v>
      </c>
      <c r="H214" s="2">
        <v>2170</v>
      </c>
      <c r="I214" s="2">
        <v>1813</v>
      </c>
      <c r="J214" s="2">
        <v>0</v>
      </c>
      <c r="K214" s="1">
        <v>43101</v>
      </c>
      <c r="L214" s="2">
        <f>SUM(Tabla1[[#This Row],[Serv. Culturales Derecho Hab Publ]:[Soci Comedores Pensionados Jubl]])</f>
        <v>80989</v>
      </c>
    </row>
    <row r="215" spans="1:12" x14ac:dyDescent="0.3">
      <c r="A215" s="2">
        <v>2017</v>
      </c>
      <c r="B215" t="s">
        <v>16</v>
      </c>
      <c r="C215" s="2">
        <v>35766</v>
      </c>
      <c r="D215" s="2">
        <v>40314</v>
      </c>
      <c r="E215" s="2">
        <v>0</v>
      </c>
      <c r="F215" s="2">
        <v>0</v>
      </c>
      <c r="G215" s="2">
        <v>120</v>
      </c>
      <c r="H215" s="2">
        <v>2290</v>
      </c>
      <c r="I215" s="2">
        <v>2228</v>
      </c>
      <c r="J215" s="2">
        <v>0</v>
      </c>
      <c r="K215" s="1">
        <v>42736</v>
      </c>
      <c r="L215" s="2">
        <f>SUM(Tabla1[[#This Row],[Serv. Culturales Derecho Hab Publ]:[Soci Comedores Pensionados Jubl]])</f>
        <v>80718</v>
      </c>
    </row>
    <row r="216" spans="1:12" x14ac:dyDescent="0.3">
      <c r="A216" s="2">
        <v>2013</v>
      </c>
      <c r="B216" t="s">
        <v>17</v>
      </c>
      <c r="C216" s="2">
        <v>50637</v>
      </c>
      <c r="D216" s="2">
        <v>9317</v>
      </c>
      <c r="E216" s="2">
        <v>0</v>
      </c>
      <c r="F216" s="2">
        <v>0</v>
      </c>
      <c r="G216" s="2">
        <v>4643</v>
      </c>
      <c r="H216" s="2">
        <v>1023</v>
      </c>
      <c r="I216" s="2">
        <v>14161</v>
      </c>
      <c r="J216" s="2">
        <v>0</v>
      </c>
      <c r="K216" s="1">
        <v>41275</v>
      </c>
      <c r="L216" s="2">
        <f>SUM(Tabla1[[#This Row],[Serv. Culturales Derecho Hab Publ]:[Soci Comedores Pensionados Jubl]])</f>
        <v>79781</v>
      </c>
    </row>
    <row r="217" spans="1:12" x14ac:dyDescent="0.3">
      <c r="A217" s="2">
        <v>2015</v>
      </c>
      <c r="B217" t="s">
        <v>9</v>
      </c>
      <c r="C217" s="2">
        <v>39556</v>
      </c>
      <c r="D217" s="2">
        <v>33729</v>
      </c>
      <c r="E217" s="2">
        <v>0</v>
      </c>
      <c r="F217" s="2">
        <v>55</v>
      </c>
      <c r="G217" s="2">
        <v>1400</v>
      </c>
      <c r="H217" s="2">
        <v>2644</v>
      </c>
      <c r="I217" s="2">
        <v>1212</v>
      </c>
      <c r="J217" s="2">
        <v>0</v>
      </c>
      <c r="K217" s="1">
        <v>42005</v>
      </c>
      <c r="L217" s="2">
        <f>SUM(Tabla1[[#This Row],[Serv. Culturales Derecho Hab Publ]:[Soci Comedores Pensionados Jubl]])</f>
        <v>78596</v>
      </c>
    </row>
    <row r="218" spans="1:12" x14ac:dyDescent="0.3">
      <c r="A218" s="2">
        <v>2016</v>
      </c>
      <c r="B218" t="s">
        <v>6</v>
      </c>
      <c r="C218" s="2">
        <v>55337</v>
      </c>
      <c r="D218" s="2">
        <v>0</v>
      </c>
      <c r="E218" s="2">
        <v>0</v>
      </c>
      <c r="F218" s="2">
        <v>0</v>
      </c>
      <c r="G218" s="2">
        <v>12624</v>
      </c>
      <c r="H218" s="2">
        <v>2584</v>
      </c>
      <c r="I218" s="2">
        <v>7773</v>
      </c>
      <c r="J218" s="2">
        <v>0</v>
      </c>
      <c r="K218" s="1">
        <v>42370</v>
      </c>
      <c r="L218" s="2">
        <f>SUM(Tabla1[[#This Row],[Serv. Culturales Derecho Hab Publ]:[Soci Comedores Pensionados Jubl]])</f>
        <v>78318</v>
      </c>
    </row>
    <row r="219" spans="1:12" x14ac:dyDescent="0.3">
      <c r="A219" s="2">
        <v>2013</v>
      </c>
      <c r="B219" t="s">
        <v>25</v>
      </c>
      <c r="C219" s="2">
        <v>0</v>
      </c>
      <c r="D219" s="2">
        <v>0</v>
      </c>
      <c r="E219" s="2">
        <v>0</v>
      </c>
      <c r="F219" s="2">
        <v>0</v>
      </c>
      <c r="G219" s="2">
        <v>4489</v>
      </c>
      <c r="H219" s="2">
        <v>0</v>
      </c>
      <c r="I219" s="2">
        <v>13678</v>
      </c>
      <c r="J219" s="2">
        <v>59853</v>
      </c>
      <c r="K219" s="1">
        <v>41275</v>
      </c>
      <c r="L219" s="2">
        <f>SUM(Tabla1[[#This Row],[Serv. Culturales Derecho Hab Publ]:[Soci Comedores Pensionados Jubl]])</f>
        <v>78020</v>
      </c>
    </row>
    <row r="220" spans="1:12" x14ac:dyDescent="0.3">
      <c r="A220" s="2">
        <v>2015</v>
      </c>
      <c r="B220" t="s">
        <v>17</v>
      </c>
      <c r="C220" s="2">
        <v>47451</v>
      </c>
      <c r="D220" s="2">
        <v>16979</v>
      </c>
      <c r="E220" s="2">
        <v>0</v>
      </c>
      <c r="F220" s="2">
        <v>0</v>
      </c>
      <c r="G220" s="2">
        <v>5059</v>
      </c>
      <c r="H220" s="2">
        <v>1703</v>
      </c>
      <c r="I220" s="2">
        <v>6702</v>
      </c>
      <c r="J220" s="2">
        <v>0</v>
      </c>
      <c r="K220" s="1">
        <v>42005</v>
      </c>
      <c r="L220" s="2">
        <f>SUM(Tabla1[[#This Row],[Serv. Culturales Derecho Hab Publ]:[Soci Comedores Pensionados Jubl]])</f>
        <v>77894</v>
      </c>
    </row>
    <row r="221" spans="1:12" x14ac:dyDescent="0.3">
      <c r="A221" s="2">
        <v>2016</v>
      </c>
      <c r="B221" t="s">
        <v>7</v>
      </c>
      <c r="C221" s="2">
        <v>54284</v>
      </c>
      <c r="D221" s="2">
        <v>0</v>
      </c>
      <c r="E221" s="2">
        <v>0</v>
      </c>
      <c r="F221" s="2">
        <v>0</v>
      </c>
      <c r="G221" s="2">
        <v>3800</v>
      </c>
      <c r="H221" s="2">
        <v>9180</v>
      </c>
      <c r="I221" s="2">
        <v>10206</v>
      </c>
      <c r="J221" s="2">
        <v>0</v>
      </c>
      <c r="K221" s="1">
        <v>42370</v>
      </c>
      <c r="L221" s="2">
        <f>SUM(Tabla1[[#This Row],[Serv. Culturales Derecho Hab Publ]:[Soci Comedores Pensionados Jubl]])</f>
        <v>77470</v>
      </c>
    </row>
    <row r="222" spans="1:12" x14ac:dyDescent="0.3">
      <c r="A222" s="2">
        <v>2017</v>
      </c>
      <c r="B222" t="s">
        <v>0</v>
      </c>
      <c r="C222" s="2">
        <v>25627</v>
      </c>
      <c r="D222" s="2">
        <v>28418</v>
      </c>
      <c r="E222" s="2">
        <v>0</v>
      </c>
      <c r="F222" s="2">
        <v>163</v>
      </c>
      <c r="G222" s="2">
        <v>4376</v>
      </c>
      <c r="H222" s="2">
        <v>13336</v>
      </c>
      <c r="I222" s="2">
        <v>5436</v>
      </c>
      <c r="J222" s="2">
        <v>0</v>
      </c>
      <c r="K222" s="1">
        <v>42736</v>
      </c>
      <c r="L222" s="2">
        <f>SUM(Tabla1[[#This Row],[Serv. Culturales Derecho Hab Publ]:[Soci Comedores Pensionados Jubl]])</f>
        <v>77356</v>
      </c>
    </row>
    <row r="223" spans="1:12" x14ac:dyDescent="0.3">
      <c r="A223" s="2">
        <v>2019</v>
      </c>
      <c r="B223" t="s">
        <v>31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19648</v>
      </c>
      <c r="J223" s="2">
        <v>56176</v>
      </c>
      <c r="K223" s="1">
        <v>43466</v>
      </c>
      <c r="L223" s="2">
        <f>SUM(Tabla1[[#This Row],[Serv. Culturales Derecho Hab Publ]:[Soci Comedores Pensionados Jubl]])</f>
        <v>75824</v>
      </c>
    </row>
    <row r="224" spans="1:12" x14ac:dyDescent="0.3">
      <c r="A224" s="2">
        <v>2017</v>
      </c>
      <c r="B224" t="s">
        <v>9</v>
      </c>
      <c r="C224" s="2">
        <v>37993</v>
      </c>
      <c r="D224" s="2">
        <v>31886</v>
      </c>
      <c r="E224" s="2">
        <v>0</v>
      </c>
      <c r="F224" s="2">
        <v>77</v>
      </c>
      <c r="G224" s="2">
        <v>2214</v>
      </c>
      <c r="H224" s="2">
        <v>2900</v>
      </c>
      <c r="I224" s="2">
        <v>675</v>
      </c>
      <c r="J224" s="2">
        <v>0</v>
      </c>
      <c r="K224" s="1">
        <v>42736</v>
      </c>
      <c r="L224" s="2">
        <f>SUM(Tabla1[[#This Row],[Serv. Culturales Derecho Hab Publ]:[Soci Comedores Pensionados Jubl]])</f>
        <v>75745</v>
      </c>
    </row>
    <row r="225" spans="1:12" x14ac:dyDescent="0.3">
      <c r="A225" s="2">
        <v>2016</v>
      </c>
      <c r="B225" t="s">
        <v>15</v>
      </c>
      <c r="C225" s="2">
        <v>62651</v>
      </c>
      <c r="D225" s="2">
        <v>0</v>
      </c>
      <c r="E225" s="2">
        <v>0</v>
      </c>
      <c r="F225" s="2">
        <v>0</v>
      </c>
      <c r="G225" s="2">
        <v>4984</v>
      </c>
      <c r="H225" s="2">
        <v>1020</v>
      </c>
      <c r="I225" s="2">
        <v>6710</v>
      </c>
      <c r="J225" s="2">
        <v>0</v>
      </c>
      <c r="K225" s="1">
        <v>42370</v>
      </c>
      <c r="L225" s="2">
        <f>SUM(Tabla1[[#This Row],[Serv. Culturales Derecho Hab Publ]:[Soci Comedores Pensionados Jubl]])</f>
        <v>75365</v>
      </c>
    </row>
    <row r="226" spans="1:12" x14ac:dyDescent="0.3">
      <c r="A226" s="2">
        <v>2015</v>
      </c>
      <c r="B226" t="s">
        <v>0</v>
      </c>
      <c r="C226" s="2">
        <v>39725</v>
      </c>
      <c r="D226" s="2">
        <v>24096</v>
      </c>
      <c r="E226" s="2">
        <v>0</v>
      </c>
      <c r="F226" s="2">
        <v>30</v>
      </c>
      <c r="G226" s="2">
        <v>462</v>
      </c>
      <c r="H226" s="2">
        <v>3748</v>
      </c>
      <c r="I226" s="2">
        <v>7016</v>
      </c>
      <c r="J226" s="2">
        <v>0</v>
      </c>
      <c r="K226" s="1">
        <v>42005</v>
      </c>
      <c r="L226" s="2">
        <f>SUM(Tabla1[[#This Row],[Serv. Culturales Derecho Hab Publ]:[Soci Comedores Pensionados Jubl]])</f>
        <v>75077</v>
      </c>
    </row>
    <row r="227" spans="1:12" x14ac:dyDescent="0.3">
      <c r="A227" s="2">
        <v>2013</v>
      </c>
      <c r="B227" t="s">
        <v>15</v>
      </c>
      <c r="C227" s="2">
        <v>12395</v>
      </c>
      <c r="D227" s="2">
        <v>42828</v>
      </c>
      <c r="E227" s="2">
        <v>0</v>
      </c>
      <c r="F227" s="2">
        <v>539</v>
      </c>
      <c r="G227" s="2">
        <v>5036</v>
      </c>
      <c r="H227" s="2">
        <v>1890</v>
      </c>
      <c r="I227" s="2">
        <v>11083</v>
      </c>
      <c r="J227" s="2">
        <v>0</v>
      </c>
      <c r="K227" s="1">
        <v>41275</v>
      </c>
      <c r="L227" s="2">
        <f>SUM(Tabla1[[#This Row],[Serv. Culturales Derecho Hab Publ]:[Soci Comedores Pensionados Jubl]])</f>
        <v>73771</v>
      </c>
    </row>
    <row r="228" spans="1:12" x14ac:dyDescent="0.3">
      <c r="A228" s="2">
        <v>2016</v>
      </c>
      <c r="B228" t="s">
        <v>26</v>
      </c>
      <c r="C228" s="2">
        <v>0</v>
      </c>
      <c r="D228" s="2">
        <v>0</v>
      </c>
      <c r="E228" s="2">
        <v>0</v>
      </c>
      <c r="F228" s="2">
        <v>73308</v>
      </c>
      <c r="G228" s="2">
        <v>0</v>
      </c>
      <c r="H228" s="2">
        <v>0</v>
      </c>
      <c r="I228" s="2">
        <v>0</v>
      </c>
      <c r="J228" s="2">
        <v>0</v>
      </c>
      <c r="K228" s="1">
        <v>42370</v>
      </c>
      <c r="L228" s="2">
        <f>SUM(Tabla1[[#This Row],[Serv. Culturales Derecho Hab Publ]:[Soci Comedores Pensionados Jubl]])</f>
        <v>73308</v>
      </c>
    </row>
    <row r="229" spans="1:12" x14ac:dyDescent="0.3">
      <c r="A229" s="2">
        <v>2019</v>
      </c>
      <c r="B229" t="s">
        <v>21</v>
      </c>
      <c r="C229" s="2">
        <v>35401</v>
      </c>
      <c r="D229" s="2">
        <v>25473</v>
      </c>
      <c r="E229" s="2">
        <v>0</v>
      </c>
      <c r="F229" s="2">
        <v>114</v>
      </c>
      <c r="G229" s="2">
        <v>1328</v>
      </c>
      <c r="H229" s="2">
        <v>3165</v>
      </c>
      <c r="I229" s="2">
        <v>6599</v>
      </c>
      <c r="J229" s="2">
        <v>0</v>
      </c>
      <c r="K229" s="1">
        <v>43466</v>
      </c>
      <c r="L229" s="2">
        <f>SUM(Tabla1[[#This Row],[Serv. Culturales Derecho Hab Publ]:[Soci Comedores Pensionados Jubl]])</f>
        <v>72080</v>
      </c>
    </row>
    <row r="230" spans="1:12" x14ac:dyDescent="0.3">
      <c r="A230" s="2">
        <v>2016</v>
      </c>
      <c r="B230" t="s">
        <v>32</v>
      </c>
      <c r="C230" s="2">
        <v>60463</v>
      </c>
      <c r="D230" s="2">
        <v>0</v>
      </c>
      <c r="E230" s="2">
        <v>0</v>
      </c>
      <c r="F230" s="2">
        <v>0</v>
      </c>
      <c r="G230" s="2">
        <v>2478</v>
      </c>
      <c r="H230" s="2">
        <v>1778</v>
      </c>
      <c r="I230" s="2">
        <v>6139</v>
      </c>
      <c r="J230" s="2">
        <v>0</v>
      </c>
      <c r="K230" s="1">
        <v>42370</v>
      </c>
      <c r="L230" s="2">
        <f>SUM(Tabla1[[#This Row],[Serv. Culturales Derecho Hab Publ]:[Soci Comedores Pensionados Jubl]])</f>
        <v>70858</v>
      </c>
    </row>
    <row r="231" spans="1:12" x14ac:dyDescent="0.3">
      <c r="A231" s="2">
        <v>2014</v>
      </c>
      <c r="B231" t="s">
        <v>33</v>
      </c>
      <c r="C231" s="2">
        <v>29076</v>
      </c>
      <c r="D231" s="2">
        <v>33897</v>
      </c>
      <c r="E231" s="2">
        <v>0</v>
      </c>
      <c r="F231" s="2">
        <v>36</v>
      </c>
      <c r="G231" s="2">
        <v>1682</v>
      </c>
      <c r="H231" s="2">
        <v>3826</v>
      </c>
      <c r="I231" s="2">
        <v>1096</v>
      </c>
      <c r="J231" s="2">
        <v>0</v>
      </c>
      <c r="K231" s="1">
        <v>41640</v>
      </c>
      <c r="L231" s="2">
        <f>SUM(Tabla1[[#This Row],[Serv. Culturales Derecho Hab Publ]:[Soci Comedores Pensionados Jubl]])</f>
        <v>69613</v>
      </c>
    </row>
    <row r="232" spans="1:12" x14ac:dyDescent="0.3">
      <c r="A232" s="2">
        <v>2015</v>
      </c>
      <c r="B232" t="s">
        <v>5</v>
      </c>
      <c r="C232" s="2">
        <v>36710</v>
      </c>
      <c r="D232" s="2">
        <v>22440</v>
      </c>
      <c r="E232" s="2">
        <v>0</v>
      </c>
      <c r="F232" s="2">
        <v>0</v>
      </c>
      <c r="G232" s="2">
        <v>711</v>
      </c>
      <c r="H232" s="2">
        <v>6508</v>
      </c>
      <c r="I232" s="2">
        <v>2691</v>
      </c>
      <c r="J232" s="2">
        <v>0</v>
      </c>
      <c r="K232" s="1">
        <v>42005</v>
      </c>
      <c r="L232" s="2">
        <f>SUM(Tabla1[[#This Row],[Serv. Culturales Derecho Hab Publ]:[Soci Comedores Pensionados Jubl]])</f>
        <v>69060</v>
      </c>
    </row>
    <row r="233" spans="1:12" x14ac:dyDescent="0.3">
      <c r="A233" s="2">
        <v>2015</v>
      </c>
      <c r="B233" t="s">
        <v>25</v>
      </c>
      <c r="C233" s="2">
        <v>0</v>
      </c>
      <c r="D233" s="2">
        <v>0</v>
      </c>
      <c r="E233" s="2">
        <v>0</v>
      </c>
      <c r="F233" s="2">
        <v>0</v>
      </c>
      <c r="G233" s="2">
        <v>5012</v>
      </c>
      <c r="H233" s="2">
        <v>0</v>
      </c>
      <c r="I233" s="2">
        <v>0</v>
      </c>
      <c r="J233" s="2">
        <v>63767</v>
      </c>
      <c r="K233" s="1">
        <v>42005</v>
      </c>
      <c r="L233" s="2">
        <f>SUM(Tabla1[[#This Row],[Serv. Culturales Derecho Hab Publ]:[Soci Comedores Pensionados Jubl]])</f>
        <v>68779</v>
      </c>
    </row>
    <row r="234" spans="1:12" x14ac:dyDescent="0.3">
      <c r="A234" s="2">
        <v>2020</v>
      </c>
      <c r="B234" t="s">
        <v>53</v>
      </c>
      <c r="C234" s="2">
        <v>11157</v>
      </c>
      <c r="D234" s="2">
        <v>44236</v>
      </c>
      <c r="E234" s="2">
        <v>0</v>
      </c>
      <c r="F234" s="2">
        <v>8813</v>
      </c>
      <c r="G234" s="2">
        <v>490</v>
      </c>
      <c r="H234" s="2">
        <v>2259</v>
      </c>
      <c r="I234" s="2">
        <v>1517</v>
      </c>
      <c r="J234" s="2">
        <v>0</v>
      </c>
      <c r="K234" s="1">
        <v>43831</v>
      </c>
      <c r="L234" s="2">
        <f>SUM(Tabla1[[#This Row],[Serv. Culturales Derecho Hab Publ]:[Soci Comedores Pensionados Jubl]])</f>
        <v>68472</v>
      </c>
    </row>
    <row r="235" spans="1:12" x14ac:dyDescent="0.3">
      <c r="A235" s="2">
        <v>2013</v>
      </c>
      <c r="B235" t="s">
        <v>47</v>
      </c>
      <c r="C235" s="2">
        <v>19086</v>
      </c>
      <c r="D235" s="2">
        <v>28705</v>
      </c>
      <c r="E235" s="2">
        <v>0</v>
      </c>
      <c r="F235" s="2">
        <v>229</v>
      </c>
      <c r="G235" s="2">
        <v>11981</v>
      </c>
      <c r="H235" s="2">
        <v>2440</v>
      </c>
      <c r="I235" s="2">
        <v>5494</v>
      </c>
      <c r="J235" s="2">
        <v>0</v>
      </c>
      <c r="K235" s="1">
        <v>41275</v>
      </c>
      <c r="L235" s="2">
        <f>SUM(Tabla1[[#This Row],[Serv. Culturales Derecho Hab Publ]:[Soci Comedores Pensionados Jubl]])</f>
        <v>67935</v>
      </c>
    </row>
    <row r="236" spans="1:12" x14ac:dyDescent="0.3">
      <c r="A236" s="2">
        <v>2015</v>
      </c>
      <c r="B236" t="s">
        <v>20</v>
      </c>
      <c r="C236" s="2">
        <v>32266</v>
      </c>
      <c r="D236" s="2">
        <v>30392</v>
      </c>
      <c r="E236" s="2">
        <v>0</v>
      </c>
      <c r="F236" s="2">
        <v>13</v>
      </c>
      <c r="G236" s="2">
        <v>753</v>
      </c>
      <c r="H236" s="2">
        <v>1920</v>
      </c>
      <c r="I236" s="2">
        <v>2530</v>
      </c>
      <c r="J236" s="2">
        <v>0</v>
      </c>
      <c r="K236" s="1">
        <v>42005</v>
      </c>
      <c r="L236" s="2">
        <f>SUM(Tabla1[[#This Row],[Serv. Culturales Derecho Hab Publ]:[Soci Comedores Pensionados Jubl]])</f>
        <v>67874</v>
      </c>
    </row>
    <row r="237" spans="1:12" x14ac:dyDescent="0.3">
      <c r="A237" s="2">
        <v>2020</v>
      </c>
      <c r="B237" t="s">
        <v>2</v>
      </c>
      <c r="C237" s="2">
        <v>23409</v>
      </c>
      <c r="D237" s="2">
        <v>35752</v>
      </c>
      <c r="E237" s="2">
        <v>0</v>
      </c>
      <c r="F237" s="2">
        <v>12</v>
      </c>
      <c r="G237" s="2">
        <v>3286</v>
      </c>
      <c r="H237" s="2">
        <v>1405</v>
      </c>
      <c r="I237" s="2">
        <v>1924</v>
      </c>
      <c r="J237" s="2">
        <v>0</v>
      </c>
      <c r="K237" s="1">
        <v>43831</v>
      </c>
      <c r="L237" s="2">
        <f>SUM(Tabla1[[#This Row],[Serv. Culturales Derecho Hab Publ]:[Soci Comedores Pensionados Jubl]])</f>
        <v>65788</v>
      </c>
    </row>
    <row r="238" spans="1:12" x14ac:dyDescent="0.3">
      <c r="A238" s="2">
        <v>2015</v>
      </c>
      <c r="B238" t="s">
        <v>33</v>
      </c>
      <c r="C238" s="2">
        <v>25967</v>
      </c>
      <c r="D238" s="2">
        <v>32707</v>
      </c>
      <c r="E238" s="2">
        <v>0</v>
      </c>
      <c r="F238" s="2">
        <v>10</v>
      </c>
      <c r="G238" s="2">
        <v>1700</v>
      </c>
      <c r="H238" s="2">
        <v>2856</v>
      </c>
      <c r="I238" s="2">
        <v>2351</v>
      </c>
      <c r="J238" s="2">
        <v>0</v>
      </c>
      <c r="K238" s="1">
        <v>42005</v>
      </c>
      <c r="L238" s="2">
        <f>SUM(Tabla1[[#This Row],[Serv. Culturales Derecho Hab Publ]:[Soci Comedores Pensionados Jubl]])</f>
        <v>65591</v>
      </c>
    </row>
    <row r="239" spans="1:12" x14ac:dyDescent="0.3">
      <c r="A239" s="2">
        <v>2017</v>
      </c>
      <c r="B239" t="s">
        <v>31</v>
      </c>
      <c r="C239" s="2">
        <v>0</v>
      </c>
      <c r="D239" s="2">
        <v>0</v>
      </c>
      <c r="E239" s="2">
        <v>0</v>
      </c>
      <c r="F239" s="2">
        <v>0</v>
      </c>
      <c r="G239" s="2">
        <v>3558</v>
      </c>
      <c r="H239" s="2">
        <v>0</v>
      </c>
      <c r="I239" s="2">
        <v>0</v>
      </c>
      <c r="J239" s="2">
        <v>61754</v>
      </c>
      <c r="K239" s="1">
        <v>42736</v>
      </c>
      <c r="L239" s="2">
        <f>SUM(Tabla1[[#This Row],[Serv. Culturales Derecho Hab Publ]:[Soci Comedores Pensionados Jubl]])</f>
        <v>65312</v>
      </c>
    </row>
    <row r="240" spans="1:12" x14ac:dyDescent="0.3">
      <c r="A240" s="2">
        <v>2016</v>
      </c>
      <c r="B240" t="s">
        <v>13</v>
      </c>
      <c r="C240" s="2">
        <v>54231</v>
      </c>
      <c r="D240" s="2">
        <v>0</v>
      </c>
      <c r="E240" s="2">
        <v>0</v>
      </c>
      <c r="F240" s="2">
        <v>0</v>
      </c>
      <c r="G240" s="2">
        <v>3316</v>
      </c>
      <c r="H240" s="2">
        <v>2494</v>
      </c>
      <c r="I240" s="2">
        <v>5175</v>
      </c>
      <c r="J240" s="2">
        <v>0</v>
      </c>
      <c r="K240" s="1">
        <v>42370</v>
      </c>
      <c r="L240" s="2">
        <f>SUM(Tabla1[[#This Row],[Serv. Culturales Derecho Hab Publ]:[Soci Comedores Pensionados Jubl]])</f>
        <v>65216</v>
      </c>
    </row>
    <row r="241" spans="1:12" x14ac:dyDescent="0.3">
      <c r="A241" s="2">
        <v>2017</v>
      </c>
      <c r="B241" t="s">
        <v>33</v>
      </c>
      <c r="C241" s="2">
        <v>17482</v>
      </c>
      <c r="D241" s="2">
        <v>38154</v>
      </c>
      <c r="E241" s="2">
        <v>0</v>
      </c>
      <c r="F241" s="2">
        <v>8</v>
      </c>
      <c r="G241" s="2">
        <v>1617</v>
      </c>
      <c r="H241" s="2">
        <v>3696</v>
      </c>
      <c r="I241" s="2">
        <v>2710</v>
      </c>
      <c r="J241" s="2">
        <v>0</v>
      </c>
      <c r="K241" s="1">
        <v>42736</v>
      </c>
      <c r="L241" s="2">
        <f>SUM(Tabla1[[#This Row],[Serv. Culturales Derecho Hab Publ]:[Soci Comedores Pensionados Jubl]])</f>
        <v>63667</v>
      </c>
    </row>
    <row r="242" spans="1:12" x14ac:dyDescent="0.3">
      <c r="A242" s="2">
        <v>2022</v>
      </c>
      <c r="B242" t="s">
        <v>26</v>
      </c>
      <c r="C242" s="2">
        <v>0</v>
      </c>
      <c r="D242" s="2">
        <v>0</v>
      </c>
      <c r="E242" s="2">
        <v>51801</v>
      </c>
      <c r="F242" s="2">
        <v>0</v>
      </c>
      <c r="G242" s="2">
        <v>861</v>
      </c>
      <c r="H242" s="2">
        <v>0</v>
      </c>
      <c r="I242" s="2">
        <v>0</v>
      </c>
      <c r="J242" s="2">
        <v>10916</v>
      </c>
      <c r="K242" s="1">
        <v>44562</v>
      </c>
      <c r="L242" s="2">
        <f>SUM(Tabla1[[#This Row],[Serv. Culturales Derecho Hab Publ]:[Soci Comedores Pensionados Jubl]])</f>
        <v>63578</v>
      </c>
    </row>
    <row r="243" spans="1:12" x14ac:dyDescent="0.3">
      <c r="A243" s="2">
        <v>2014</v>
      </c>
      <c r="B243" t="s">
        <v>0</v>
      </c>
      <c r="C243" s="2">
        <v>28882</v>
      </c>
      <c r="D243" s="2">
        <v>24276</v>
      </c>
      <c r="E243" s="2">
        <v>0</v>
      </c>
      <c r="F243" s="2">
        <v>98</v>
      </c>
      <c r="G243" s="2">
        <v>3303</v>
      </c>
      <c r="H243" s="2">
        <v>4844</v>
      </c>
      <c r="I243" s="2">
        <v>1740</v>
      </c>
      <c r="J243" s="2">
        <v>0</v>
      </c>
      <c r="K243" s="1">
        <v>41640</v>
      </c>
      <c r="L243" s="2">
        <f>SUM(Tabla1[[#This Row],[Serv. Culturales Derecho Hab Publ]:[Soci Comedores Pensionados Jubl]])</f>
        <v>63143</v>
      </c>
    </row>
    <row r="244" spans="1:12" x14ac:dyDescent="0.3">
      <c r="A244" s="2">
        <v>2020</v>
      </c>
      <c r="B244" t="s">
        <v>50</v>
      </c>
      <c r="C244" s="2">
        <v>9400</v>
      </c>
      <c r="D244" s="2">
        <v>38034</v>
      </c>
      <c r="E244" s="2">
        <v>0</v>
      </c>
      <c r="F244" s="2">
        <v>223</v>
      </c>
      <c r="G244" s="2">
        <v>4014</v>
      </c>
      <c r="H244" s="2">
        <v>9386</v>
      </c>
      <c r="I244" s="2">
        <v>2064</v>
      </c>
      <c r="J244" s="2">
        <v>0</v>
      </c>
      <c r="K244" s="1">
        <v>43831</v>
      </c>
      <c r="L244" s="2">
        <f>SUM(Tabla1[[#This Row],[Serv. Culturales Derecho Hab Publ]:[Soci Comedores Pensionados Jubl]])</f>
        <v>63121</v>
      </c>
    </row>
    <row r="245" spans="1:12" x14ac:dyDescent="0.3">
      <c r="A245" s="2">
        <v>2016</v>
      </c>
      <c r="B245" t="s">
        <v>49</v>
      </c>
      <c r="C245" s="2">
        <v>39760</v>
      </c>
      <c r="D245" s="2">
        <v>0</v>
      </c>
      <c r="E245" s="2">
        <v>0</v>
      </c>
      <c r="F245" s="2">
        <v>0</v>
      </c>
      <c r="G245" s="2">
        <v>7915</v>
      </c>
      <c r="H245" s="2">
        <v>2978</v>
      </c>
      <c r="I245" s="2">
        <v>12309</v>
      </c>
      <c r="J245" s="2">
        <v>0</v>
      </c>
      <c r="K245" s="1">
        <v>42370</v>
      </c>
      <c r="L245" s="2">
        <f>SUM(Tabla1[[#This Row],[Serv. Culturales Derecho Hab Publ]:[Soci Comedores Pensionados Jubl]])</f>
        <v>62962</v>
      </c>
    </row>
    <row r="246" spans="1:12" x14ac:dyDescent="0.3">
      <c r="A246" s="2">
        <v>2016</v>
      </c>
      <c r="B246" t="s">
        <v>5</v>
      </c>
      <c r="C246" s="2">
        <v>42348</v>
      </c>
      <c r="D246" s="2">
        <v>0</v>
      </c>
      <c r="E246" s="2">
        <v>0</v>
      </c>
      <c r="F246" s="2">
        <v>0</v>
      </c>
      <c r="G246" s="2">
        <v>3564</v>
      </c>
      <c r="H246" s="2">
        <v>5245</v>
      </c>
      <c r="I246" s="2">
        <v>9711</v>
      </c>
      <c r="J246" s="2">
        <v>0</v>
      </c>
      <c r="K246" s="1">
        <v>42370</v>
      </c>
      <c r="L246" s="2">
        <f>SUM(Tabla1[[#This Row],[Serv. Culturales Derecho Hab Publ]:[Soci Comedores Pensionados Jubl]])</f>
        <v>60868</v>
      </c>
    </row>
    <row r="247" spans="1:12" x14ac:dyDescent="0.3">
      <c r="A247" s="2">
        <v>2014</v>
      </c>
      <c r="B247" t="s">
        <v>16</v>
      </c>
      <c r="C247" s="2">
        <v>11174</v>
      </c>
      <c r="D247" s="2">
        <v>46109</v>
      </c>
      <c r="E247" s="2">
        <v>0</v>
      </c>
      <c r="F247" s="2">
        <v>0</v>
      </c>
      <c r="G247" s="2">
        <v>620</v>
      </c>
      <c r="H247" s="2">
        <v>2251</v>
      </c>
      <c r="I247" s="2">
        <v>227</v>
      </c>
      <c r="J247" s="2">
        <v>0</v>
      </c>
      <c r="K247" s="1">
        <v>41640</v>
      </c>
      <c r="L247" s="2">
        <f>SUM(Tabla1[[#This Row],[Serv. Culturales Derecho Hab Publ]:[Soci Comedores Pensionados Jubl]])</f>
        <v>60381</v>
      </c>
    </row>
    <row r="248" spans="1:12" x14ac:dyDescent="0.3">
      <c r="A248" s="2">
        <v>2016</v>
      </c>
      <c r="B248" t="s">
        <v>4</v>
      </c>
      <c r="C248" s="2">
        <v>47575</v>
      </c>
      <c r="D248" s="2">
        <v>0</v>
      </c>
      <c r="E248" s="2">
        <v>0</v>
      </c>
      <c r="F248" s="2">
        <v>0</v>
      </c>
      <c r="G248" s="2">
        <v>4738</v>
      </c>
      <c r="H248" s="2">
        <v>975</v>
      </c>
      <c r="I248" s="2">
        <v>6745</v>
      </c>
      <c r="J248" s="2">
        <v>0</v>
      </c>
      <c r="K248" s="1">
        <v>42370</v>
      </c>
      <c r="L248" s="2">
        <f>SUM(Tabla1[[#This Row],[Serv. Culturales Derecho Hab Publ]:[Soci Comedores Pensionados Jubl]])</f>
        <v>60033</v>
      </c>
    </row>
    <row r="249" spans="1:12" x14ac:dyDescent="0.3">
      <c r="A249" s="2">
        <v>2013</v>
      </c>
      <c r="B249" t="s">
        <v>33</v>
      </c>
      <c r="C249" s="2">
        <v>22917</v>
      </c>
      <c r="D249" s="2">
        <v>27582</v>
      </c>
      <c r="E249" s="2">
        <v>0</v>
      </c>
      <c r="F249" s="2">
        <v>34</v>
      </c>
      <c r="G249" s="2">
        <v>2833</v>
      </c>
      <c r="H249" s="2">
        <v>2489</v>
      </c>
      <c r="I249" s="2">
        <v>3754</v>
      </c>
      <c r="J249" s="2">
        <v>0</v>
      </c>
      <c r="K249" s="1">
        <v>41275</v>
      </c>
      <c r="L249" s="2">
        <f>SUM(Tabla1[[#This Row],[Serv. Culturales Derecho Hab Publ]:[Soci Comedores Pensionados Jubl]])</f>
        <v>59609</v>
      </c>
    </row>
    <row r="250" spans="1:12" x14ac:dyDescent="0.3">
      <c r="A250" s="2">
        <v>2024</v>
      </c>
      <c r="B250" t="s">
        <v>26</v>
      </c>
      <c r="C250" s="2">
        <v>0</v>
      </c>
      <c r="D250" s="2">
        <v>0</v>
      </c>
      <c r="E250" s="2">
        <v>58343</v>
      </c>
      <c r="F250" s="2">
        <v>0</v>
      </c>
      <c r="G250" s="2">
        <v>1000</v>
      </c>
      <c r="H250" s="2">
        <v>0</v>
      </c>
      <c r="I250" s="2">
        <v>0</v>
      </c>
      <c r="J250" s="2">
        <v>0</v>
      </c>
      <c r="K250" s="1">
        <v>45292</v>
      </c>
      <c r="L250" s="2">
        <f>SUM(Tabla1[[#This Row],[Serv. Culturales Derecho Hab Publ]:[Soci Comedores Pensionados Jubl]])</f>
        <v>59343</v>
      </c>
    </row>
    <row r="251" spans="1:12" x14ac:dyDescent="0.3">
      <c r="A251" s="2">
        <v>2020</v>
      </c>
      <c r="B251" t="s">
        <v>46</v>
      </c>
      <c r="C251" s="2">
        <v>17835</v>
      </c>
      <c r="D251" s="2">
        <v>26203</v>
      </c>
      <c r="E251" s="2">
        <v>0</v>
      </c>
      <c r="F251" s="2">
        <v>6927</v>
      </c>
      <c r="G251" s="2">
        <v>870</v>
      </c>
      <c r="H251" s="2">
        <v>4580</v>
      </c>
      <c r="I251" s="2">
        <v>2281</v>
      </c>
      <c r="J251" s="2">
        <v>0</v>
      </c>
      <c r="K251" s="1">
        <v>43831</v>
      </c>
      <c r="L251" s="2">
        <f>SUM(Tabla1[[#This Row],[Serv. Culturales Derecho Hab Publ]:[Soci Comedores Pensionados Jubl]])</f>
        <v>58696</v>
      </c>
    </row>
    <row r="252" spans="1:12" x14ac:dyDescent="0.3">
      <c r="A252" s="2">
        <v>2018</v>
      </c>
      <c r="B252" t="s">
        <v>31</v>
      </c>
      <c r="C252" s="2">
        <v>0</v>
      </c>
      <c r="D252" s="2">
        <v>0</v>
      </c>
      <c r="E252" s="2">
        <v>0</v>
      </c>
      <c r="F252" s="2">
        <v>0</v>
      </c>
      <c r="G252" s="2">
        <v>4142</v>
      </c>
      <c r="H252" s="2">
        <v>0</v>
      </c>
      <c r="I252" s="2">
        <v>0</v>
      </c>
      <c r="J252" s="2">
        <v>54128</v>
      </c>
      <c r="K252" s="1">
        <v>43101</v>
      </c>
      <c r="L252" s="2">
        <f>SUM(Tabla1[[#This Row],[Serv. Culturales Derecho Hab Publ]:[Soci Comedores Pensionados Jubl]])</f>
        <v>58270</v>
      </c>
    </row>
    <row r="253" spans="1:12" x14ac:dyDescent="0.3">
      <c r="A253" s="2">
        <v>2016</v>
      </c>
      <c r="B253" t="s">
        <v>22</v>
      </c>
      <c r="C253" s="2">
        <v>50857</v>
      </c>
      <c r="D253" s="2">
        <v>0</v>
      </c>
      <c r="E253" s="2">
        <v>0</v>
      </c>
      <c r="F253" s="2">
        <v>0</v>
      </c>
      <c r="G253" s="2">
        <v>1468</v>
      </c>
      <c r="H253" s="2">
        <v>4977</v>
      </c>
      <c r="I253" s="2">
        <v>753</v>
      </c>
      <c r="J253" s="2">
        <v>0</v>
      </c>
      <c r="K253" s="1">
        <v>42370</v>
      </c>
      <c r="L253" s="2">
        <f>SUM(Tabla1[[#This Row],[Serv. Culturales Derecho Hab Publ]:[Soci Comedores Pensionados Jubl]])</f>
        <v>58055</v>
      </c>
    </row>
    <row r="254" spans="1:12" x14ac:dyDescent="0.3">
      <c r="A254" s="2">
        <v>2018</v>
      </c>
      <c r="B254" t="s">
        <v>33</v>
      </c>
      <c r="C254" s="2">
        <v>13774</v>
      </c>
      <c r="D254" s="2">
        <v>36099</v>
      </c>
      <c r="E254" s="2">
        <v>0</v>
      </c>
      <c r="F254" s="2">
        <v>19</v>
      </c>
      <c r="G254" s="2">
        <v>836</v>
      </c>
      <c r="H254" s="2">
        <v>3580</v>
      </c>
      <c r="I254" s="2">
        <v>3467</v>
      </c>
      <c r="J254" s="2">
        <v>0</v>
      </c>
      <c r="K254" s="1">
        <v>43101</v>
      </c>
      <c r="L254" s="2">
        <f>SUM(Tabla1[[#This Row],[Serv. Culturales Derecho Hab Publ]:[Soci Comedores Pensionados Jubl]])</f>
        <v>57775</v>
      </c>
    </row>
    <row r="255" spans="1:12" x14ac:dyDescent="0.3">
      <c r="A255" s="2">
        <v>2019</v>
      </c>
      <c r="B255" t="s">
        <v>20</v>
      </c>
      <c r="C255" s="2">
        <v>24855</v>
      </c>
      <c r="D255" s="2">
        <v>26748</v>
      </c>
      <c r="E255" s="2">
        <v>0</v>
      </c>
      <c r="F255" s="2">
        <v>6</v>
      </c>
      <c r="G255" s="2">
        <v>2336</v>
      </c>
      <c r="H255" s="2">
        <v>1920</v>
      </c>
      <c r="I255" s="2">
        <v>1905</v>
      </c>
      <c r="J255" s="2">
        <v>0</v>
      </c>
      <c r="K255" s="1">
        <v>43466</v>
      </c>
      <c r="L255" s="2">
        <f>SUM(Tabla1[[#This Row],[Serv. Culturales Derecho Hab Publ]:[Soci Comedores Pensionados Jubl]])</f>
        <v>57770</v>
      </c>
    </row>
    <row r="256" spans="1:12" x14ac:dyDescent="0.3">
      <c r="A256" s="2">
        <v>2016</v>
      </c>
      <c r="B256" t="s">
        <v>17</v>
      </c>
      <c r="C256" s="2">
        <v>46584</v>
      </c>
      <c r="D256" s="2">
        <v>0</v>
      </c>
      <c r="E256" s="2">
        <v>0</v>
      </c>
      <c r="F256" s="2">
        <v>0</v>
      </c>
      <c r="G256" s="2">
        <v>3872</v>
      </c>
      <c r="H256" s="2">
        <v>1128</v>
      </c>
      <c r="I256" s="2">
        <v>5889</v>
      </c>
      <c r="J256" s="2">
        <v>0</v>
      </c>
      <c r="K256" s="1">
        <v>42370</v>
      </c>
      <c r="L256" s="2">
        <f>SUM(Tabla1[[#This Row],[Serv. Culturales Derecho Hab Publ]:[Soci Comedores Pensionados Jubl]])</f>
        <v>57473</v>
      </c>
    </row>
    <row r="257" spans="1:12" x14ac:dyDescent="0.3">
      <c r="A257" s="2">
        <v>2016</v>
      </c>
      <c r="B257" t="s">
        <v>8</v>
      </c>
      <c r="C257" s="2">
        <v>39484</v>
      </c>
      <c r="D257" s="2">
        <v>0</v>
      </c>
      <c r="E257" s="2">
        <v>0</v>
      </c>
      <c r="F257" s="2">
        <v>0</v>
      </c>
      <c r="G257" s="2">
        <v>9034</v>
      </c>
      <c r="H257" s="2">
        <v>1823</v>
      </c>
      <c r="I257" s="2">
        <v>6608</v>
      </c>
      <c r="J257" s="2">
        <v>0</v>
      </c>
      <c r="K257" s="1">
        <v>42370</v>
      </c>
      <c r="L257" s="2">
        <f>SUM(Tabla1[[#This Row],[Serv. Culturales Derecho Hab Publ]:[Soci Comedores Pensionados Jubl]])</f>
        <v>56949</v>
      </c>
    </row>
    <row r="258" spans="1:12" x14ac:dyDescent="0.3">
      <c r="A258" s="2">
        <v>2023</v>
      </c>
      <c r="B258" t="s">
        <v>31</v>
      </c>
      <c r="C258" s="2">
        <v>0</v>
      </c>
      <c r="D258" s="2">
        <v>0</v>
      </c>
      <c r="E258" s="2">
        <v>0</v>
      </c>
      <c r="F258" s="2">
        <v>0</v>
      </c>
      <c r="G258" s="2">
        <v>3858</v>
      </c>
      <c r="H258" s="2">
        <v>0</v>
      </c>
      <c r="I258" s="2">
        <v>0</v>
      </c>
      <c r="J258" s="2">
        <v>53086</v>
      </c>
      <c r="K258" s="1">
        <v>44927</v>
      </c>
      <c r="L258" s="2">
        <f>SUM(Tabla1[[#This Row],[Serv. Culturales Derecho Hab Publ]:[Soci Comedores Pensionados Jubl]])</f>
        <v>56944</v>
      </c>
    </row>
    <row r="259" spans="1:12" x14ac:dyDescent="0.3">
      <c r="A259" s="2">
        <v>2020</v>
      </c>
      <c r="B259" t="s">
        <v>52</v>
      </c>
      <c r="C259" s="2">
        <v>16253</v>
      </c>
      <c r="D259" s="2">
        <v>28827</v>
      </c>
      <c r="E259" s="2">
        <v>0</v>
      </c>
      <c r="F259" s="2">
        <v>3725</v>
      </c>
      <c r="G259" s="2">
        <v>1457</v>
      </c>
      <c r="H259" s="2">
        <v>6078</v>
      </c>
      <c r="I259" s="2">
        <v>368</v>
      </c>
      <c r="J259" s="2">
        <v>0</v>
      </c>
      <c r="K259" s="1">
        <v>43831</v>
      </c>
      <c r="L259" s="2">
        <f>SUM(Tabla1[[#This Row],[Serv. Culturales Derecho Hab Publ]:[Soci Comedores Pensionados Jubl]])</f>
        <v>56708</v>
      </c>
    </row>
    <row r="260" spans="1:12" x14ac:dyDescent="0.3">
      <c r="A260" s="2">
        <v>2017</v>
      </c>
      <c r="B260" t="s">
        <v>20</v>
      </c>
      <c r="C260" s="2">
        <v>22121</v>
      </c>
      <c r="D260" s="2">
        <v>26970</v>
      </c>
      <c r="E260" s="2">
        <v>0</v>
      </c>
      <c r="F260" s="2">
        <v>10</v>
      </c>
      <c r="G260" s="2">
        <v>3874</v>
      </c>
      <c r="H260" s="2">
        <v>1920</v>
      </c>
      <c r="I260" s="2">
        <v>1670</v>
      </c>
      <c r="J260" s="2">
        <v>0</v>
      </c>
      <c r="K260" s="1">
        <v>42736</v>
      </c>
      <c r="L260" s="2">
        <f>SUM(Tabla1[[#This Row],[Serv. Culturales Derecho Hab Publ]:[Soci Comedores Pensionados Jubl]])</f>
        <v>56565</v>
      </c>
    </row>
    <row r="261" spans="1:12" x14ac:dyDescent="0.3">
      <c r="A261" s="2">
        <v>2014</v>
      </c>
      <c r="B261" t="s">
        <v>17</v>
      </c>
      <c r="C261" s="2">
        <v>32266</v>
      </c>
      <c r="D261" s="2">
        <v>15283</v>
      </c>
      <c r="E261" s="2">
        <v>0</v>
      </c>
      <c r="F261" s="2">
        <v>0</v>
      </c>
      <c r="G261" s="2">
        <v>5180</v>
      </c>
      <c r="H261" s="2">
        <v>1176</v>
      </c>
      <c r="I261" s="2">
        <v>2254</v>
      </c>
      <c r="J261" s="2">
        <v>0</v>
      </c>
      <c r="K261" s="1">
        <v>41640</v>
      </c>
      <c r="L261" s="2">
        <f>SUM(Tabla1[[#This Row],[Serv. Culturales Derecho Hab Publ]:[Soci Comedores Pensionados Jubl]])</f>
        <v>56159</v>
      </c>
    </row>
    <row r="262" spans="1:12" x14ac:dyDescent="0.3">
      <c r="A262" s="2">
        <v>2016</v>
      </c>
      <c r="B262" t="s">
        <v>29</v>
      </c>
      <c r="C262" s="2">
        <v>21249</v>
      </c>
      <c r="D262" s="2">
        <v>0</v>
      </c>
      <c r="E262" s="2">
        <v>0</v>
      </c>
      <c r="F262" s="2">
        <v>0</v>
      </c>
      <c r="G262" s="2">
        <v>9727</v>
      </c>
      <c r="H262" s="2">
        <v>16455</v>
      </c>
      <c r="I262" s="2">
        <v>7818</v>
      </c>
      <c r="J262" s="2">
        <v>0</v>
      </c>
      <c r="K262" s="1">
        <v>42370</v>
      </c>
      <c r="L262" s="2">
        <f>SUM(Tabla1[[#This Row],[Serv. Culturales Derecho Hab Publ]:[Soci Comedores Pensionados Jubl]])</f>
        <v>55249</v>
      </c>
    </row>
    <row r="263" spans="1:12" x14ac:dyDescent="0.3">
      <c r="A263" s="2">
        <v>2018</v>
      </c>
      <c r="B263" t="s">
        <v>20</v>
      </c>
      <c r="C263" s="2">
        <v>23349</v>
      </c>
      <c r="D263" s="2">
        <v>26234</v>
      </c>
      <c r="E263" s="2">
        <v>0</v>
      </c>
      <c r="F263" s="2">
        <v>13</v>
      </c>
      <c r="G263" s="2">
        <v>2271</v>
      </c>
      <c r="H263" s="2">
        <v>1920</v>
      </c>
      <c r="I263" s="2">
        <v>1250</v>
      </c>
      <c r="J263" s="2">
        <v>0</v>
      </c>
      <c r="K263" s="1">
        <v>43101</v>
      </c>
      <c r="L263" s="2">
        <f>SUM(Tabla1[[#This Row],[Serv. Culturales Derecho Hab Publ]:[Soci Comedores Pensionados Jubl]])</f>
        <v>55037</v>
      </c>
    </row>
    <row r="264" spans="1:12" x14ac:dyDescent="0.3">
      <c r="A264" s="2">
        <v>2018</v>
      </c>
      <c r="B264" t="s">
        <v>0</v>
      </c>
      <c r="C264" s="2">
        <v>17227</v>
      </c>
      <c r="D264" s="2">
        <v>21839</v>
      </c>
      <c r="E264" s="2">
        <v>0</v>
      </c>
      <c r="F264" s="2">
        <v>63</v>
      </c>
      <c r="G264" s="2">
        <v>0</v>
      </c>
      <c r="H264" s="2">
        <v>10792</v>
      </c>
      <c r="I264" s="2">
        <v>4878</v>
      </c>
      <c r="J264" s="2">
        <v>0</v>
      </c>
      <c r="K264" s="1">
        <v>43101</v>
      </c>
      <c r="L264" s="2">
        <f>SUM(Tabla1[[#This Row],[Serv. Culturales Derecho Hab Publ]:[Soci Comedores Pensionados Jubl]])</f>
        <v>54799</v>
      </c>
    </row>
    <row r="265" spans="1:12" x14ac:dyDescent="0.3">
      <c r="A265" s="2">
        <v>2014</v>
      </c>
      <c r="B265" t="s">
        <v>20</v>
      </c>
      <c r="C265" s="2">
        <v>21459</v>
      </c>
      <c r="D265" s="2">
        <v>27677</v>
      </c>
      <c r="E265" s="2">
        <v>0</v>
      </c>
      <c r="F265" s="2">
        <v>6</v>
      </c>
      <c r="G265" s="2">
        <v>748</v>
      </c>
      <c r="H265" s="2">
        <v>1920</v>
      </c>
      <c r="I265" s="2">
        <v>1805</v>
      </c>
      <c r="J265" s="2">
        <v>0</v>
      </c>
      <c r="K265" s="1">
        <v>41640</v>
      </c>
      <c r="L265" s="2">
        <f>SUM(Tabla1[[#This Row],[Serv. Culturales Derecho Hab Publ]:[Soci Comedores Pensionados Jubl]])</f>
        <v>53615</v>
      </c>
    </row>
    <row r="266" spans="1:12" x14ac:dyDescent="0.3">
      <c r="A266" s="2">
        <v>2020</v>
      </c>
      <c r="B266" t="s">
        <v>14</v>
      </c>
      <c r="C266" s="2">
        <v>31523</v>
      </c>
      <c r="D266" s="2">
        <v>5186</v>
      </c>
      <c r="E266" s="2">
        <v>0</v>
      </c>
      <c r="F266" s="2">
        <v>19</v>
      </c>
      <c r="G266" s="2">
        <v>0</v>
      </c>
      <c r="H266" s="2">
        <v>376</v>
      </c>
      <c r="I266" s="2">
        <v>13506</v>
      </c>
      <c r="J266" s="2">
        <v>0</v>
      </c>
      <c r="K266" s="1">
        <v>43831</v>
      </c>
      <c r="L266" s="2">
        <f>SUM(Tabla1[[#This Row],[Serv. Culturales Derecho Hab Publ]:[Soci Comedores Pensionados Jubl]])</f>
        <v>50610</v>
      </c>
    </row>
    <row r="267" spans="1:12" x14ac:dyDescent="0.3">
      <c r="A267" s="2">
        <v>2020</v>
      </c>
      <c r="B267" t="s">
        <v>55</v>
      </c>
      <c r="C267" s="2">
        <v>17236</v>
      </c>
      <c r="D267" s="2">
        <v>25514</v>
      </c>
      <c r="E267" s="2">
        <v>0</v>
      </c>
      <c r="F267" s="2">
        <v>1905</v>
      </c>
      <c r="G267" s="2">
        <v>951</v>
      </c>
      <c r="H267" s="2">
        <v>2522</v>
      </c>
      <c r="I267" s="2">
        <v>2471</v>
      </c>
      <c r="J267" s="2">
        <v>0</v>
      </c>
      <c r="K267" s="1">
        <v>43831</v>
      </c>
      <c r="L267" s="2">
        <f>SUM(Tabla1[[#This Row],[Serv. Culturales Derecho Hab Publ]:[Soci Comedores Pensionados Jubl]])</f>
        <v>50599</v>
      </c>
    </row>
    <row r="268" spans="1:12" x14ac:dyDescent="0.3">
      <c r="A268" s="2">
        <v>2019</v>
      </c>
      <c r="B268" t="s">
        <v>0</v>
      </c>
      <c r="C268" s="2">
        <v>10402</v>
      </c>
      <c r="D268" s="2">
        <v>23676</v>
      </c>
      <c r="E268" s="2">
        <v>0</v>
      </c>
      <c r="F268" s="2">
        <v>11</v>
      </c>
      <c r="G268" s="2">
        <v>0</v>
      </c>
      <c r="H268" s="2">
        <v>10488</v>
      </c>
      <c r="I268" s="2">
        <v>4277</v>
      </c>
      <c r="J268" s="2">
        <v>0</v>
      </c>
      <c r="K268" s="1">
        <v>43466</v>
      </c>
      <c r="L268" s="2">
        <f>SUM(Tabla1[[#This Row],[Serv. Culturales Derecho Hab Publ]:[Soci Comedores Pensionados Jubl]])</f>
        <v>48854</v>
      </c>
    </row>
    <row r="269" spans="1:12" x14ac:dyDescent="0.3">
      <c r="A269" s="2">
        <v>2016</v>
      </c>
      <c r="B269" t="s">
        <v>31</v>
      </c>
      <c r="C269" s="2">
        <v>0</v>
      </c>
      <c r="D269" s="2">
        <v>0</v>
      </c>
      <c r="E269" s="2">
        <v>0</v>
      </c>
      <c r="F269" s="2">
        <v>0</v>
      </c>
      <c r="G269" s="2">
        <v>6060</v>
      </c>
      <c r="H269" s="2">
        <v>0</v>
      </c>
      <c r="I269" s="2">
        <v>0</v>
      </c>
      <c r="J269" s="2">
        <v>41507</v>
      </c>
      <c r="K269" s="1">
        <v>42370</v>
      </c>
      <c r="L269" s="2">
        <f>SUM(Tabla1[[#This Row],[Serv. Culturales Derecho Hab Publ]:[Soci Comedores Pensionados Jubl]])</f>
        <v>47567</v>
      </c>
    </row>
    <row r="270" spans="1:12" x14ac:dyDescent="0.3">
      <c r="A270" s="2">
        <v>2014</v>
      </c>
      <c r="B270" t="s">
        <v>5</v>
      </c>
      <c r="C270" s="2">
        <v>18086</v>
      </c>
      <c r="D270" s="2">
        <v>14706</v>
      </c>
      <c r="E270" s="2">
        <v>0</v>
      </c>
      <c r="F270" s="2">
        <v>1</v>
      </c>
      <c r="G270" s="2">
        <v>924</v>
      </c>
      <c r="H270" s="2">
        <v>11975</v>
      </c>
      <c r="I270" s="2">
        <v>657</v>
      </c>
      <c r="J270" s="2">
        <v>0</v>
      </c>
      <c r="K270" s="1">
        <v>41640</v>
      </c>
      <c r="L270" s="2">
        <f>SUM(Tabla1[[#This Row],[Serv. Culturales Derecho Hab Publ]:[Soci Comedores Pensionados Jubl]])</f>
        <v>46349</v>
      </c>
    </row>
    <row r="271" spans="1:12" x14ac:dyDescent="0.3">
      <c r="A271" s="2">
        <v>2020</v>
      </c>
      <c r="B271" t="s">
        <v>10</v>
      </c>
      <c r="C271" s="2">
        <v>27129</v>
      </c>
      <c r="D271" s="2">
        <v>15133</v>
      </c>
      <c r="E271" s="2">
        <v>0</v>
      </c>
      <c r="F271" s="2">
        <v>152</v>
      </c>
      <c r="G271" s="2">
        <v>627</v>
      </c>
      <c r="H271" s="2">
        <v>615</v>
      </c>
      <c r="I271" s="2">
        <v>2033</v>
      </c>
      <c r="J271" s="2">
        <v>0</v>
      </c>
      <c r="K271" s="1">
        <v>43831</v>
      </c>
      <c r="L271" s="2">
        <f>SUM(Tabla1[[#This Row],[Serv. Culturales Derecho Hab Publ]:[Soci Comedores Pensionados Jubl]])</f>
        <v>45689</v>
      </c>
    </row>
    <row r="272" spans="1:12" x14ac:dyDescent="0.3">
      <c r="A272" s="2">
        <v>2013</v>
      </c>
      <c r="B272" t="s">
        <v>20</v>
      </c>
      <c r="C272" s="2">
        <v>12487</v>
      </c>
      <c r="D272" s="2">
        <v>29228</v>
      </c>
      <c r="E272" s="2">
        <v>0</v>
      </c>
      <c r="F272" s="2">
        <v>12</v>
      </c>
      <c r="G272" s="2">
        <v>148</v>
      </c>
      <c r="H272" s="2">
        <v>1920</v>
      </c>
      <c r="I272" s="2">
        <v>1060</v>
      </c>
      <c r="J272" s="2">
        <v>0</v>
      </c>
      <c r="K272" s="1">
        <v>41275</v>
      </c>
      <c r="L272" s="2">
        <f>SUM(Tabla1[[#This Row],[Serv. Culturales Derecho Hab Publ]:[Soci Comedores Pensionados Jubl]])</f>
        <v>44855</v>
      </c>
    </row>
    <row r="273" spans="1:12" x14ac:dyDescent="0.3">
      <c r="A273" s="2">
        <v>2025</v>
      </c>
      <c r="B273" t="s">
        <v>26</v>
      </c>
      <c r="C273" s="2">
        <v>0</v>
      </c>
      <c r="D273" s="2">
        <v>0</v>
      </c>
      <c r="E273" s="2">
        <v>41812</v>
      </c>
      <c r="F273" s="2">
        <v>0</v>
      </c>
      <c r="G273" s="2">
        <v>1951</v>
      </c>
      <c r="H273" s="2">
        <v>0</v>
      </c>
      <c r="I273" s="2">
        <v>0</v>
      </c>
      <c r="J273" s="2">
        <v>0</v>
      </c>
      <c r="K273" s="1">
        <v>45658</v>
      </c>
      <c r="L273" s="2">
        <f>SUM(Tabla1[[#This Row],[Serv. Culturales Derecho Hab Publ]:[Soci Comedores Pensionados Jubl]])</f>
        <v>43763</v>
      </c>
    </row>
    <row r="274" spans="1:12" x14ac:dyDescent="0.3">
      <c r="A274" s="2">
        <v>2015</v>
      </c>
      <c r="B274" t="s">
        <v>16</v>
      </c>
      <c r="C274" s="2">
        <v>13941</v>
      </c>
      <c r="D274" s="2">
        <v>26925</v>
      </c>
      <c r="E274" s="2">
        <v>0</v>
      </c>
      <c r="F274" s="2">
        <v>0</v>
      </c>
      <c r="G274" s="2">
        <v>0</v>
      </c>
      <c r="H274" s="2">
        <v>2098</v>
      </c>
      <c r="I274" s="2">
        <v>111</v>
      </c>
      <c r="J274" s="2">
        <v>0</v>
      </c>
      <c r="K274" s="1">
        <v>42005</v>
      </c>
      <c r="L274" s="2">
        <f>SUM(Tabla1[[#This Row],[Serv. Culturales Derecho Hab Publ]:[Soci Comedores Pensionados Jubl]])</f>
        <v>43075</v>
      </c>
    </row>
    <row r="275" spans="1:12" x14ac:dyDescent="0.3">
      <c r="A275" s="2">
        <v>2020</v>
      </c>
      <c r="B275" t="s">
        <v>23</v>
      </c>
      <c r="C275" s="2">
        <v>12471</v>
      </c>
      <c r="D275" s="2">
        <v>24051</v>
      </c>
      <c r="E275" s="2">
        <v>0</v>
      </c>
      <c r="F275" s="2">
        <v>440</v>
      </c>
      <c r="G275" s="2">
        <v>700</v>
      </c>
      <c r="H275" s="2">
        <v>4024</v>
      </c>
      <c r="I275" s="2">
        <v>930</v>
      </c>
      <c r="J275" s="2">
        <v>0</v>
      </c>
      <c r="K275" s="1">
        <v>43831</v>
      </c>
      <c r="L275" s="2">
        <f>SUM(Tabla1[[#This Row],[Serv. Culturales Derecho Hab Publ]:[Soci Comedores Pensionados Jubl]])</f>
        <v>42616</v>
      </c>
    </row>
    <row r="276" spans="1:12" x14ac:dyDescent="0.3">
      <c r="A276" s="2">
        <v>2020</v>
      </c>
      <c r="B276" t="s">
        <v>54</v>
      </c>
      <c r="C276" s="2">
        <v>158</v>
      </c>
      <c r="D276" s="2">
        <v>26737</v>
      </c>
      <c r="E276" s="2">
        <v>0</v>
      </c>
      <c r="F276" s="2">
        <v>20</v>
      </c>
      <c r="G276" s="2">
        <v>815</v>
      </c>
      <c r="H276" s="2">
        <v>14666</v>
      </c>
      <c r="I276" s="2">
        <v>215</v>
      </c>
      <c r="J276" s="2">
        <v>0</v>
      </c>
      <c r="K276" s="1">
        <v>43831</v>
      </c>
      <c r="L276" s="2">
        <f>SUM(Tabla1[[#This Row],[Serv. Culturales Derecho Hab Publ]:[Soci Comedores Pensionados Jubl]])</f>
        <v>42611</v>
      </c>
    </row>
    <row r="277" spans="1:12" x14ac:dyDescent="0.3">
      <c r="A277" s="2">
        <v>2020</v>
      </c>
      <c r="B277" t="s">
        <v>3</v>
      </c>
      <c r="C277" s="2">
        <v>12605</v>
      </c>
      <c r="D277" s="2">
        <v>20194</v>
      </c>
      <c r="E277" s="2">
        <v>0</v>
      </c>
      <c r="F277" s="2">
        <v>6</v>
      </c>
      <c r="G277" s="2">
        <v>1855</v>
      </c>
      <c r="H277" s="2">
        <v>5007</v>
      </c>
      <c r="I277" s="2">
        <v>1502</v>
      </c>
      <c r="J277" s="2">
        <v>0</v>
      </c>
      <c r="K277" s="1">
        <v>43831</v>
      </c>
      <c r="L277" s="2">
        <f>SUM(Tabla1[[#This Row],[Serv. Culturales Derecho Hab Publ]:[Soci Comedores Pensionados Jubl]])</f>
        <v>41169</v>
      </c>
    </row>
    <row r="278" spans="1:12" x14ac:dyDescent="0.3">
      <c r="A278" s="2">
        <v>2019</v>
      </c>
      <c r="B278" t="s">
        <v>32</v>
      </c>
      <c r="C278" s="2">
        <v>23337</v>
      </c>
      <c r="D278" s="2">
        <v>11851</v>
      </c>
      <c r="E278" s="2">
        <v>0</v>
      </c>
      <c r="F278" s="2">
        <v>74</v>
      </c>
      <c r="G278" s="2">
        <v>0</v>
      </c>
      <c r="H278" s="2">
        <v>663</v>
      </c>
      <c r="I278" s="2">
        <v>3331</v>
      </c>
      <c r="J278" s="2">
        <v>0</v>
      </c>
      <c r="K278" s="1">
        <v>43466</v>
      </c>
      <c r="L278" s="2">
        <f>SUM(Tabla1[[#This Row],[Serv. Culturales Derecho Hab Publ]:[Soci Comedores Pensionados Jubl]])</f>
        <v>39256</v>
      </c>
    </row>
    <row r="279" spans="1:12" x14ac:dyDescent="0.3">
      <c r="A279" s="2">
        <v>2020</v>
      </c>
      <c r="B279" t="s">
        <v>13</v>
      </c>
      <c r="C279" s="2">
        <v>4831</v>
      </c>
      <c r="D279" s="2">
        <v>26895</v>
      </c>
      <c r="E279" s="2">
        <v>0</v>
      </c>
      <c r="F279" s="2">
        <v>245</v>
      </c>
      <c r="G279" s="2">
        <v>1244</v>
      </c>
      <c r="H279" s="2">
        <v>2240</v>
      </c>
      <c r="I279" s="2">
        <v>172</v>
      </c>
      <c r="J279" s="2">
        <v>0</v>
      </c>
      <c r="K279" s="1">
        <v>43831</v>
      </c>
      <c r="L279" s="2">
        <f>SUM(Tabla1[[#This Row],[Serv. Culturales Derecho Hab Publ]:[Soci Comedores Pensionados Jubl]])</f>
        <v>35627</v>
      </c>
    </row>
    <row r="280" spans="1:12" x14ac:dyDescent="0.3">
      <c r="A280" s="2">
        <v>2016</v>
      </c>
      <c r="B280" t="s">
        <v>47</v>
      </c>
      <c r="C280" s="2">
        <v>26285</v>
      </c>
      <c r="D280" s="2">
        <v>0</v>
      </c>
      <c r="E280" s="2">
        <v>0</v>
      </c>
      <c r="F280" s="2">
        <v>0</v>
      </c>
      <c r="G280" s="2">
        <v>5618</v>
      </c>
      <c r="H280" s="2">
        <v>1160</v>
      </c>
      <c r="I280" s="2">
        <v>1998</v>
      </c>
      <c r="J280" s="2">
        <v>0</v>
      </c>
      <c r="K280" s="1">
        <v>42370</v>
      </c>
      <c r="L280" s="2">
        <f>SUM(Tabla1[[#This Row],[Serv. Culturales Derecho Hab Publ]:[Soci Comedores Pensionados Jubl]])</f>
        <v>35061</v>
      </c>
    </row>
    <row r="281" spans="1:12" x14ac:dyDescent="0.3">
      <c r="A281" s="2">
        <v>2020</v>
      </c>
      <c r="B281" t="s">
        <v>33</v>
      </c>
      <c r="C281" s="2">
        <v>256</v>
      </c>
      <c r="D281" s="2">
        <v>29171</v>
      </c>
      <c r="E281" s="2">
        <v>0</v>
      </c>
      <c r="F281" s="2">
        <v>0</v>
      </c>
      <c r="G281" s="2">
        <v>48</v>
      </c>
      <c r="H281" s="2">
        <v>4240</v>
      </c>
      <c r="I281" s="2">
        <v>251</v>
      </c>
      <c r="J281" s="2">
        <v>0</v>
      </c>
      <c r="K281" s="1">
        <v>43831</v>
      </c>
      <c r="L281" s="2">
        <f>SUM(Tabla1[[#This Row],[Serv. Culturales Derecho Hab Publ]:[Soci Comedores Pensionados Jubl]])</f>
        <v>33966</v>
      </c>
    </row>
    <row r="282" spans="1:12" x14ac:dyDescent="0.3">
      <c r="A282" s="2">
        <v>2020</v>
      </c>
      <c r="B282" t="s">
        <v>11</v>
      </c>
      <c r="C282" s="2">
        <v>1393</v>
      </c>
      <c r="D282" s="2">
        <v>28950</v>
      </c>
      <c r="E282" s="2">
        <v>0</v>
      </c>
      <c r="F282" s="2">
        <v>151</v>
      </c>
      <c r="G282" s="2">
        <v>272</v>
      </c>
      <c r="H282" s="2">
        <v>1681</v>
      </c>
      <c r="I282" s="2">
        <v>164</v>
      </c>
      <c r="J282" s="2">
        <v>0</v>
      </c>
      <c r="K282" s="1">
        <v>43831</v>
      </c>
      <c r="L282" s="2">
        <f>SUM(Tabla1[[#This Row],[Serv. Culturales Derecho Hab Publ]:[Soci Comedores Pensionados Jubl]])</f>
        <v>32611</v>
      </c>
    </row>
    <row r="283" spans="1:12" x14ac:dyDescent="0.3">
      <c r="A283" s="2">
        <v>2016</v>
      </c>
      <c r="B283" t="s">
        <v>0</v>
      </c>
      <c r="C283" s="2">
        <v>21640</v>
      </c>
      <c r="D283" s="2">
        <v>0</v>
      </c>
      <c r="E283" s="2">
        <v>0</v>
      </c>
      <c r="F283" s="2">
        <v>0</v>
      </c>
      <c r="G283" s="2">
        <v>1023</v>
      </c>
      <c r="H283" s="2">
        <v>3437</v>
      </c>
      <c r="I283" s="2">
        <v>5292</v>
      </c>
      <c r="J283" s="2">
        <v>0</v>
      </c>
      <c r="K283" s="1">
        <v>42370</v>
      </c>
      <c r="L283" s="2">
        <f>SUM(Tabla1[[#This Row],[Serv. Culturales Derecho Hab Publ]:[Soci Comedores Pensionados Jubl]])</f>
        <v>31392</v>
      </c>
    </row>
    <row r="284" spans="1:12" x14ac:dyDescent="0.3">
      <c r="A284" s="2">
        <v>2016</v>
      </c>
      <c r="B284" t="s">
        <v>9</v>
      </c>
      <c r="C284" s="2">
        <v>24074</v>
      </c>
      <c r="D284" s="2">
        <v>0</v>
      </c>
      <c r="E284" s="2">
        <v>0</v>
      </c>
      <c r="F284" s="2">
        <v>0</v>
      </c>
      <c r="G284" s="2">
        <v>1400</v>
      </c>
      <c r="H284" s="2">
        <v>1294</v>
      </c>
      <c r="I284" s="2">
        <v>1580</v>
      </c>
      <c r="J284" s="2">
        <v>0</v>
      </c>
      <c r="K284" s="1">
        <v>42370</v>
      </c>
      <c r="L284" s="2">
        <f>SUM(Tabla1[[#This Row],[Serv. Culturales Derecho Hab Publ]:[Soci Comedores Pensionados Jubl]])</f>
        <v>28348</v>
      </c>
    </row>
    <row r="285" spans="1:12" x14ac:dyDescent="0.3">
      <c r="A285" s="2">
        <v>2020</v>
      </c>
      <c r="B285" t="s">
        <v>51</v>
      </c>
      <c r="C285" s="2">
        <v>10930</v>
      </c>
      <c r="D285" s="2">
        <v>11393</v>
      </c>
      <c r="E285" s="2">
        <v>0</v>
      </c>
      <c r="F285" s="2">
        <v>127</v>
      </c>
      <c r="G285" s="2">
        <v>764</v>
      </c>
      <c r="H285" s="2">
        <v>3525</v>
      </c>
      <c r="I285" s="2">
        <v>1154</v>
      </c>
      <c r="J285" s="2">
        <v>0</v>
      </c>
      <c r="K285" s="1">
        <v>43831</v>
      </c>
      <c r="L285" s="2">
        <f>SUM(Tabla1[[#This Row],[Serv. Culturales Derecho Hab Publ]:[Soci Comedores Pensionados Jubl]])</f>
        <v>27893</v>
      </c>
    </row>
    <row r="286" spans="1:12" x14ac:dyDescent="0.3">
      <c r="A286" s="2">
        <v>2020</v>
      </c>
      <c r="B286" t="s">
        <v>15</v>
      </c>
      <c r="C286" s="2">
        <v>6925</v>
      </c>
      <c r="D286" s="2">
        <v>12497</v>
      </c>
      <c r="E286" s="2">
        <v>0</v>
      </c>
      <c r="F286" s="2">
        <v>472</v>
      </c>
      <c r="G286" s="2">
        <v>4198</v>
      </c>
      <c r="H286" s="2">
        <v>1519</v>
      </c>
      <c r="I286" s="2">
        <v>1330</v>
      </c>
      <c r="J286" s="2">
        <v>0</v>
      </c>
      <c r="K286" s="1">
        <v>43831</v>
      </c>
      <c r="L286" s="2">
        <f>SUM(Tabla1[[#This Row],[Serv. Culturales Derecho Hab Publ]:[Soci Comedores Pensionados Jubl]])</f>
        <v>26941</v>
      </c>
    </row>
    <row r="287" spans="1:12" x14ac:dyDescent="0.3">
      <c r="A287" s="2">
        <v>2022</v>
      </c>
      <c r="B287" t="s">
        <v>31</v>
      </c>
      <c r="C287" s="2">
        <v>0</v>
      </c>
      <c r="D287" s="2">
        <v>0</v>
      </c>
      <c r="E287" s="2">
        <v>0</v>
      </c>
      <c r="F287" s="2">
        <v>0</v>
      </c>
      <c r="G287" s="2">
        <v>1744</v>
      </c>
      <c r="H287" s="2">
        <v>0</v>
      </c>
      <c r="I287" s="2">
        <v>0</v>
      </c>
      <c r="J287" s="2">
        <v>24597</v>
      </c>
      <c r="K287" s="1">
        <v>44562</v>
      </c>
      <c r="L287" s="2">
        <f>SUM(Tabla1[[#This Row],[Serv. Culturales Derecho Hab Publ]:[Soci Comedores Pensionados Jubl]])</f>
        <v>26341</v>
      </c>
    </row>
    <row r="288" spans="1:12" x14ac:dyDescent="0.3">
      <c r="A288" s="2">
        <v>2020</v>
      </c>
      <c r="B288" t="s">
        <v>47</v>
      </c>
      <c r="C288" s="2">
        <v>15319</v>
      </c>
      <c r="D288" s="2">
        <v>7478</v>
      </c>
      <c r="E288" s="2">
        <v>0</v>
      </c>
      <c r="F288" s="2">
        <v>0</v>
      </c>
      <c r="G288" s="2">
        <v>590</v>
      </c>
      <c r="H288" s="2">
        <v>1722</v>
      </c>
      <c r="I288" s="2">
        <v>420</v>
      </c>
      <c r="J288" s="2">
        <v>0</v>
      </c>
      <c r="K288" s="1">
        <v>43831</v>
      </c>
      <c r="L288" s="2">
        <f>SUM(Tabla1[[#This Row],[Serv. Culturales Derecho Hab Publ]:[Soci Comedores Pensionados Jubl]])</f>
        <v>25529</v>
      </c>
    </row>
    <row r="289" spans="1:12" x14ac:dyDescent="0.3">
      <c r="A289" s="2">
        <v>2020</v>
      </c>
      <c r="B289" t="s">
        <v>4</v>
      </c>
      <c r="C289" s="2">
        <v>0</v>
      </c>
      <c r="D289" s="2">
        <v>24366</v>
      </c>
      <c r="E289" s="2">
        <v>0</v>
      </c>
      <c r="F289" s="2">
        <v>76</v>
      </c>
      <c r="G289" s="2">
        <v>0</v>
      </c>
      <c r="H289" s="2">
        <v>665</v>
      </c>
      <c r="I289" s="2">
        <v>0</v>
      </c>
      <c r="J289" s="2">
        <v>0</v>
      </c>
      <c r="K289" s="1">
        <v>43831</v>
      </c>
      <c r="L289" s="2">
        <f>SUM(Tabla1[[#This Row],[Serv. Culturales Derecho Hab Publ]:[Soci Comedores Pensionados Jubl]])</f>
        <v>25107</v>
      </c>
    </row>
    <row r="290" spans="1:12" x14ac:dyDescent="0.3">
      <c r="A290" s="2">
        <v>2020</v>
      </c>
      <c r="B290" t="s">
        <v>7</v>
      </c>
      <c r="C290" s="2">
        <v>7777</v>
      </c>
      <c r="D290" s="2">
        <v>8124</v>
      </c>
      <c r="E290" s="2">
        <v>0</v>
      </c>
      <c r="F290" s="2">
        <v>38</v>
      </c>
      <c r="G290" s="2">
        <v>1248</v>
      </c>
      <c r="H290" s="2">
        <v>3730</v>
      </c>
      <c r="I290" s="2">
        <v>961</v>
      </c>
      <c r="J290" s="2">
        <v>0</v>
      </c>
      <c r="K290" s="1">
        <v>43831</v>
      </c>
      <c r="L290" s="2">
        <f>SUM(Tabla1[[#This Row],[Serv. Culturales Derecho Hab Publ]:[Soci Comedores Pensionados Jubl]])</f>
        <v>21878</v>
      </c>
    </row>
    <row r="291" spans="1:12" x14ac:dyDescent="0.3">
      <c r="A291" s="2">
        <v>2020</v>
      </c>
      <c r="B291" t="s">
        <v>6</v>
      </c>
      <c r="C291" s="2">
        <v>8471</v>
      </c>
      <c r="D291" s="2">
        <v>9155</v>
      </c>
      <c r="E291" s="2">
        <v>0</v>
      </c>
      <c r="F291" s="2">
        <v>143</v>
      </c>
      <c r="G291" s="2">
        <v>908</v>
      </c>
      <c r="H291" s="2">
        <v>1168</v>
      </c>
      <c r="I291" s="2">
        <v>1800</v>
      </c>
      <c r="J291" s="2">
        <v>0</v>
      </c>
      <c r="K291" s="1">
        <v>43831</v>
      </c>
      <c r="L291" s="2">
        <f>SUM(Tabla1[[#This Row],[Serv. Culturales Derecho Hab Publ]:[Soci Comedores Pensionados Jubl]])</f>
        <v>21645</v>
      </c>
    </row>
    <row r="292" spans="1:12" x14ac:dyDescent="0.3">
      <c r="A292" s="2">
        <v>2020</v>
      </c>
      <c r="B292" t="s">
        <v>21</v>
      </c>
      <c r="C292" s="2">
        <v>10049</v>
      </c>
      <c r="D292" s="2">
        <v>6948</v>
      </c>
      <c r="E292" s="2">
        <v>0</v>
      </c>
      <c r="F292" s="2">
        <v>362</v>
      </c>
      <c r="G292" s="2">
        <v>908</v>
      </c>
      <c r="H292" s="2">
        <v>2542</v>
      </c>
      <c r="I292" s="2">
        <v>792</v>
      </c>
      <c r="J292" s="2">
        <v>0</v>
      </c>
      <c r="K292" s="1">
        <v>43831</v>
      </c>
      <c r="L292" s="2">
        <f>SUM(Tabla1[[#This Row],[Serv. Culturales Derecho Hab Publ]:[Soci Comedores Pensionados Jubl]])</f>
        <v>21601</v>
      </c>
    </row>
    <row r="293" spans="1:12" x14ac:dyDescent="0.3">
      <c r="A293" s="2">
        <v>2020</v>
      </c>
      <c r="B293" t="s">
        <v>48</v>
      </c>
      <c r="C293" s="2">
        <v>4574</v>
      </c>
      <c r="D293" s="2">
        <v>13057</v>
      </c>
      <c r="E293" s="2">
        <v>0</v>
      </c>
      <c r="F293" s="2">
        <v>1673</v>
      </c>
      <c r="G293" s="2">
        <v>444</v>
      </c>
      <c r="H293" s="2">
        <v>707</v>
      </c>
      <c r="I293" s="2">
        <v>377</v>
      </c>
      <c r="J293" s="2">
        <v>0</v>
      </c>
      <c r="K293" s="1">
        <v>43831</v>
      </c>
      <c r="L293" s="2">
        <f>SUM(Tabla1[[#This Row],[Serv. Culturales Derecho Hab Publ]:[Soci Comedores Pensionados Jubl]])</f>
        <v>20832</v>
      </c>
    </row>
    <row r="294" spans="1:12" x14ac:dyDescent="0.3">
      <c r="A294" s="2">
        <v>2016</v>
      </c>
      <c r="B294" t="s">
        <v>20</v>
      </c>
      <c r="C294" s="2">
        <v>16579</v>
      </c>
      <c r="D294" s="2">
        <v>0</v>
      </c>
      <c r="E294" s="2">
        <v>0</v>
      </c>
      <c r="F294" s="2">
        <v>0</v>
      </c>
      <c r="G294" s="2">
        <v>680</v>
      </c>
      <c r="H294" s="2">
        <v>1440</v>
      </c>
      <c r="I294" s="2">
        <v>855</v>
      </c>
      <c r="J294" s="2">
        <v>0</v>
      </c>
      <c r="K294" s="1">
        <v>42370</v>
      </c>
      <c r="L294" s="2">
        <f>SUM(Tabla1[[#This Row],[Serv. Culturales Derecho Hab Publ]:[Soci Comedores Pensionados Jubl]])</f>
        <v>19554</v>
      </c>
    </row>
    <row r="295" spans="1:12" x14ac:dyDescent="0.3">
      <c r="A295" s="2">
        <v>2020</v>
      </c>
      <c r="B295" t="s">
        <v>5</v>
      </c>
      <c r="C295" s="2">
        <v>11790</v>
      </c>
      <c r="D295" s="2">
        <v>3194</v>
      </c>
      <c r="E295" s="2">
        <v>0</v>
      </c>
      <c r="F295" s="2">
        <v>19</v>
      </c>
      <c r="G295" s="2">
        <v>198</v>
      </c>
      <c r="H295" s="2">
        <v>2545</v>
      </c>
      <c r="I295" s="2">
        <v>1465</v>
      </c>
      <c r="J295" s="2">
        <v>0</v>
      </c>
      <c r="K295" s="1">
        <v>43831</v>
      </c>
      <c r="L295" s="2">
        <f>SUM(Tabla1[[#This Row],[Serv. Culturales Derecho Hab Publ]:[Soci Comedores Pensionados Jubl]])</f>
        <v>19211</v>
      </c>
    </row>
    <row r="296" spans="1:12" x14ac:dyDescent="0.3">
      <c r="A296" s="2">
        <v>2020</v>
      </c>
      <c r="B296" t="s">
        <v>22</v>
      </c>
      <c r="C296" s="2">
        <v>7673</v>
      </c>
      <c r="D296" s="2">
        <v>9776</v>
      </c>
      <c r="E296" s="2">
        <v>0</v>
      </c>
      <c r="F296" s="2">
        <v>124</v>
      </c>
      <c r="G296" s="2">
        <v>336</v>
      </c>
      <c r="H296" s="2">
        <v>876</v>
      </c>
      <c r="I296" s="2">
        <v>218</v>
      </c>
      <c r="J296" s="2">
        <v>0</v>
      </c>
      <c r="K296" s="1">
        <v>43831</v>
      </c>
      <c r="L296" s="2">
        <f>SUM(Tabla1[[#This Row],[Serv. Culturales Derecho Hab Publ]:[Soci Comedores Pensionados Jubl]])</f>
        <v>19003</v>
      </c>
    </row>
    <row r="297" spans="1:12" x14ac:dyDescent="0.3">
      <c r="A297" s="2">
        <v>2021</v>
      </c>
      <c r="B297" t="s">
        <v>26</v>
      </c>
      <c r="C297" s="2">
        <v>0</v>
      </c>
      <c r="D297" s="2">
        <v>0</v>
      </c>
      <c r="E297" s="2">
        <v>16560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1">
        <v>44197</v>
      </c>
      <c r="L297" s="2">
        <f>SUM(Tabla1[[#This Row],[Serv. Culturales Derecho Hab Publ]:[Soci Comedores Pensionados Jubl]])</f>
        <v>16560</v>
      </c>
    </row>
    <row r="298" spans="1:12" x14ac:dyDescent="0.3">
      <c r="A298" s="2">
        <v>2016</v>
      </c>
      <c r="B298" t="s">
        <v>33</v>
      </c>
      <c r="C298" s="2">
        <v>10646</v>
      </c>
      <c r="D298" s="2">
        <v>0</v>
      </c>
      <c r="E298" s="2">
        <v>0</v>
      </c>
      <c r="F298" s="2">
        <v>0</v>
      </c>
      <c r="G298" s="2">
        <v>868</v>
      </c>
      <c r="H298" s="2">
        <v>2571</v>
      </c>
      <c r="I298" s="2">
        <v>1972</v>
      </c>
      <c r="J298" s="2">
        <v>0</v>
      </c>
      <c r="K298" s="1">
        <v>42370</v>
      </c>
      <c r="L298" s="2">
        <f>SUM(Tabla1[[#This Row],[Serv. Culturales Derecho Hab Publ]:[Soci Comedores Pensionados Jubl]])</f>
        <v>16057</v>
      </c>
    </row>
    <row r="299" spans="1:12" x14ac:dyDescent="0.3">
      <c r="A299" s="2">
        <v>2022</v>
      </c>
      <c r="B299" t="s">
        <v>46</v>
      </c>
      <c r="C299" s="2">
        <v>1468</v>
      </c>
      <c r="D299" s="2">
        <v>1180</v>
      </c>
      <c r="E299" s="2">
        <v>4</v>
      </c>
      <c r="F299" s="2">
        <v>2171</v>
      </c>
      <c r="G299" s="2">
        <v>9327</v>
      </c>
      <c r="H299" s="2">
        <v>436</v>
      </c>
      <c r="I299" s="2">
        <v>305</v>
      </c>
      <c r="J299" s="2">
        <v>0</v>
      </c>
      <c r="K299" s="1">
        <v>44562</v>
      </c>
      <c r="L299" s="2">
        <f>SUM(Tabla1[[#This Row],[Serv. Culturales Derecho Hab Publ]:[Soci Comedores Pensionados Jubl]])</f>
        <v>14891</v>
      </c>
    </row>
    <row r="300" spans="1:12" x14ac:dyDescent="0.3">
      <c r="A300" s="2">
        <v>2020</v>
      </c>
      <c r="B300" t="s">
        <v>12</v>
      </c>
      <c r="C300" s="2">
        <v>8048</v>
      </c>
      <c r="D300" s="2">
        <v>5052</v>
      </c>
      <c r="E300" s="2">
        <v>0</v>
      </c>
      <c r="F300" s="2">
        <v>102</v>
      </c>
      <c r="G300" s="2">
        <v>161</v>
      </c>
      <c r="H300" s="2">
        <v>1137</v>
      </c>
      <c r="I300" s="2">
        <v>333</v>
      </c>
      <c r="J300" s="2">
        <v>0</v>
      </c>
      <c r="K300" s="1">
        <v>43831</v>
      </c>
      <c r="L300" s="2">
        <f>SUM(Tabla1[[#This Row],[Serv. Culturales Derecho Hab Publ]:[Soci Comedores Pensionados Jubl]])</f>
        <v>14833</v>
      </c>
    </row>
    <row r="301" spans="1:12" x14ac:dyDescent="0.3">
      <c r="A301" s="2">
        <v>2020</v>
      </c>
      <c r="B301" t="s">
        <v>16</v>
      </c>
      <c r="C301" s="2">
        <v>2703</v>
      </c>
      <c r="D301" s="2">
        <v>7528</v>
      </c>
      <c r="E301" s="2">
        <v>0</v>
      </c>
      <c r="F301" s="2">
        <v>0</v>
      </c>
      <c r="G301" s="2">
        <v>1830</v>
      </c>
      <c r="H301" s="2">
        <v>1533</v>
      </c>
      <c r="I301" s="2">
        <v>1225</v>
      </c>
      <c r="J301" s="2">
        <v>0</v>
      </c>
      <c r="K301" s="1">
        <v>43831</v>
      </c>
      <c r="L301" s="2">
        <f>SUM(Tabla1[[#This Row],[Serv. Culturales Derecho Hab Publ]:[Soci Comedores Pensionados Jubl]])</f>
        <v>14819</v>
      </c>
    </row>
    <row r="302" spans="1:12" x14ac:dyDescent="0.3">
      <c r="A302" s="2">
        <v>2020</v>
      </c>
      <c r="B302" t="s">
        <v>0</v>
      </c>
      <c r="C302" s="2">
        <v>2997</v>
      </c>
      <c r="D302" s="2">
        <v>6210</v>
      </c>
      <c r="E302" s="2">
        <v>0</v>
      </c>
      <c r="F302" s="2">
        <v>121</v>
      </c>
      <c r="G302" s="2">
        <v>0</v>
      </c>
      <c r="H302" s="2">
        <v>3082</v>
      </c>
      <c r="I302" s="2">
        <v>1548</v>
      </c>
      <c r="J302" s="2">
        <v>0</v>
      </c>
      <c r="K302" s="1">
        <v>43831</v>
      </c>
      <c r="L302" s="2">
        <f>SUM(Tabla1[[#This Row],[Serv. Culturales Derecho Hab Publ]:[Soci Comedores Pensionados Jubl]])</f>
        <v>13958</v>
      </c>
    </row>
    <row r="303" spans="1:12" x14ac:dyDescent="0.3">
      <c r="A303" s="2">
        <v>2020</v>
      </c>
      <c r="B303" t="s">
        <v>20</v>
      </c>
      <c r="C303" s="2">
        <v>3899</v>
      </c>
      <c r="D303" s="2">
        <v>7153</v>
      </c>
      <c r="E303" s="2">
        <v>0</v>
      </c>
      <c r="F303" s="2">
        <v>0</v>
      </c>
      <c r="G303" s="2">
        <v>0</v>
      </c>
      <c r="H303" s="2">
        <v>480</v>
      </c>
      <c r="I303" s="2">
        <v>367</v>
      </c>
      <c r="J303" s="2">
        <v>0</v>
      </c>
      <c r="K303" s="1">
        <v>43831</v>
      </c>
      <c r="L303" s="2">
        <f>SUM(Tabla1[[#This Row],[Serv. Culturales Derecho Hab Publ]:[Soci Comedores Pensionados Jubl]])</f>
        <v>11899</v>
      </c>
    </row>
    <row r="304" spans="1:12" x14ac:dyDescent="0.3">
      <c r="A304" s="2">
        <v>2020</v>
      </c>
      <c r="B304" t="s">
        <v>26</v>
      </c>
      <c r="C304" s="2">
        <v>0</v>
      </c>
      <c r="D304" s="2">
        <v>0</v>
      </c>
      <c r="E304" s="2">
        <v>11320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1">
        <v>43831</v>
      </c>
      <c r="L304" s="2">
        <f>SUM(Tabla1[[#This Row],[Serv. Culturales Derecho Hab Publ]:[Soci Comedores Pensionados Jubl]])</f>
        <v>11320</v>
      </c>
    </row>
    <row r="305" spans="1:12" x14ac:dyDescent="0.3">
      <c r="A305" s="2">
        <v>2024</v>
      </c>
      <c r="B305" t="s">
        <v>56</v>
      </c>
      <c r="C305" s="2">
        <v>3138</v>
      </c>
      <c r="D305" s="2">
        <v>2565</v>
      </c>
      <c r="E305" s="2">
        <v>0</v>
      </c>
      <c r="F305" s="2">
        <v>2594</v>
      </c>
      <c r="G305" s="2">
        <v>742</v>
      </c>
      <c r="H305" s="2">
        <v>1697</v>
      </c>
      <c r="I305" s="2">
        <v>367</v>
      </c>
      <c r="J305" s="2">
        <v>0</v>
      </c>
      <c r="K305" s="1">
        <v>45292</v>
      </c>
      <c r="L305" s="2">
        <f>SUM(Tabla1[[#This Row],[Serv. Culturales Derecho Hab Publ]:[Soci Comedores Pensionados Jubl]])</f>
        <v>11103</v>
      </c>
    </row>
    <row r="306" spans="1:12" x14ac:dyDescent="0.3">
      <c r="A306" s="2">
        <v>2022</v>
      </c>
      <c r="B306" t="s">
        <v>55</v>
      </c>
      <c r="C306" s="2">
        <v>884</v>
      </c>
      <c r="D306" s="2">
        <v>3229</v>
      </c>
      <c r="E306" s="2">
        <v>26</v>
      </c>
      <c r="F306" s="2">
        <v>2235</v>
      </c>
      <c r="G306" s="2">
        <v>4505</v>
      </c>
      <c r="H306" s="2">
        <v>36</v>
      </c>
      <c r="I306" s="2">
        <v>21</v>
      </c>
      <c r="J306" s="2">
        <v>0</v>
      </c>
      <c r="K306" s="1">
        <v>44562</v>
      </c>
      <c r="L306" s="2">
        <f>SUM(Tabla1[[#This Row],[Serv. Culturales Derecho Hab Publ]:[Soci Comedores Pensionados Jubl]])</f>
        <v>10936</v>
      </c>
    </row>
    <row r="307" spans="1:12" x14ac:dyDescent="0.3">
      <c r="A307" s="2">
        <v>2023</v>
      </c>
      <c r="B307" t="s">
        <v>53</v>
      </c>
      <c r="C307" s="2">
        <v>357</v>
      </c>
      <c r="D307" s="2">
        <v>3255</v>
      </c>
      <c r="E307" s="2">
        <v>891</v>
      </c>
      <c r="F307" s="2">
        <v>4979</v>
      </c>
      <c r="G307" s="2">
        <v>362</v>
      </c>
      <c r="H307" s="2">
        <v>1025</v>
      </c>
      <c r="I307" s="2">
        <v>63</v>
      </c>
      <c r="J307" s="2">
        <v>0</v>
      </c>
      <c r="K307" s="1">
        <v>44927</v>
      </c>
      <c r="L307" s="2">
        <f>SUM(Tabla1[[#This Row],[Serv. Culturales Derecho Hab Publ]:[Soci Comedores Pensionados Jubl]])</f>
        <v>10932</v>
      </c>
    </row>
    <row r="308" spans="1:12" x14ac:dyDescent="0.3">
      <c r="A308" s="2">
        <v>2024</v>
      </c>
      <c r="B308" t="s">
        <v>57</v>
      </c>
      <c r="C308" s="2">
        <v>117</v>
      </c>
      <c r="D308" s="2">
        <v>3145</v>
      </c>
      <c r="E308" s="2">
        <v>0</v>
      </c>
      <c r="F308" s="2">
        <v>4859</v>
      </c>
      <c r="G308" s="2">
        <v>1042</v>
      </c>
      <c r="H308" s="2">
        <v>1748</v>
      </c>
      <c r="I308" s="2">
        <v>0</v>
      </c>
      <c r="J308" s="2">
        <v>0</v>
      </c>
      <c r="K308" s="1">
        <v>45292</v>
      </c>
      <c r="L308" s="2">
        <f>SUM(Tabla1[[#This Row],[Serv. Culturales Derecho Hab Publ]:[Soci Comedores Pensionados Jubl]])</f>
        <v>10911</v>
      </c>
    </row>
    <row r="309" spans="1:12" x14ac:dyDescent="0.3">
      <c r="A309" s="2">
        <v>2022</v>
      </c>
      <c r="B309" t="s">
        <v>52</v>
      </c>
      <c r="C309" s="2">
        <v>3142</v>
      </c>
      <c r="D309" s="2">
        <v>2663</v>
      </c>
      <c r="E309" s="2">
        <v>0</v>
      </c>
      <c r="F309" s="2">
        <v>2657</v>
      </c>
      <c r="G309" s="2">
        <v>723</v>
      </c>
      <c r="H309" s="2">
        <v>1299</v>
      </c>
      <c r="I309" s="2">
        <v>275</v>
      </c>
      <c r="J309" s="2">
        <v>0</v>
      </c>
      <c r="K309" s="1">
        <v>44562</v>
      </c>
      <c r="L309" s="2">
        <f>SUM(Tabla1[[#This Row],[Serv. Culturales Derecho Hab Publ]:[Soci Comedores Pensionados Jubl]])</f>
        <v>10759</v>
      </c>
    </row>
    <row r="310" spans="1:12" x14ac:dyDescent="0.3">
      <c r="A310" s="2">
        <v>2023</v>
      </c>
      <c r="B310" t="s">
        <v>52</v>
      </c>
      <c r="C310" s="2">
        <v>3275</v>
      </c>
      <c r="D310" s="2">
        <v>2662</v>
      </c>
      <c r="E310" s="2">
        <v>5</v>
      </c>
      <c r="F310" s="2">
        <v>2142</v>
      </c>
      <c r="G310" s="2">
        <v>639</v>
      </c>
      <c r="H310" s="2">
        <v>1532</v>
      </c>
      <c r="I310" s="2">
        <v>396</v>
      </c>
      <c r="J310" s="2">
        <v>0</v>
      </c>
      <c r="K310" s="1">
        <v>44927</v>
      </c>
      <c r="L310" s="2">
        <f>SUM(Tabla1[[#This Row],[Serv. Culturales Derecho Hab Publ]:[Soci Comedores Pensionados Jubl]])</f>
        <v>10651</v>
      </c>
    </row>
    <row r="311" spans="1:12" x14ac:dyDescent="0.3">
      <c r="A311" s="2">
        <v>2022</v>
      </c>
      <c r="B311" t="s">
        <v>6</v>
      </c>
      <c r="C311" s="2">
        <v>275</v>
      </c>
      <c r="D311" s="2">
        <v>3166</v>
      </c>
      <c r="E311" s="2">
        <v>0</v>
      </c>
      <c r="F311" s="2">
        <v>71</v>
      </c>
      <c r="G311" s="2">
        <v>5339</v>
      </c>
      <c r="H311" s="2">
        <v>1515</v>
      </c>
      <c r="I311" s="2">
        <v>102</v>
      </c>
      <c r="J311" s="2">
        <v>0</v>
      </c>
      <c r="K311" s="1">
        <v>44562</v>
      </c>
      <c r="L311" s="2">
        <f>SUM(Tabla1[[#This Row],[Serv. Culturales Derecho Hab Publ]:[Soci Comedores Pensionados Jubl]])</f>
        <v>10468</v>
      </c>
    </row>
    <row r="312" spans="1:12" x14ac:dyDescent="0.3">
      <c r="A312" s="2">
        <v>2016</v>
      </c>
      <c r="B312" t="s">
        <v>16</v>
      </c>
      <c r="C312" s="2">
        <v>8331</v>
      </c>
      <c r="D312" s="2">
        <v>0</v>
      </c>
      <c r="E312" s="2">
        <v>0</v>
      </c>
      <c r="F312" s="2">
        <v>0</v>
      </c>
      <c r="G312" s="2">
        <v>0</v>
      </c>
      <c r="H312" s="2">
        <v>1706</v>
      </c>
      <c r="I312" s="2">
        <v>228</v>
      </c>
      <c r="J312" s="2">
        <v>0</v>
      </c>
      <c r="K312" s="1">
        <v>42370</v>
      </c>
      <c r="L312" s="2">
        <f>SUM(Tabla1[[#This Row],[Serv. Culturales Derecho Hab Publ]:[Soci Comedores Pensionados Jubl]])</f>
        <v>10265</v>
      </c>
    </row>
    <row r="313" spans="1:12" x14ac:dyDescent="0.3">
      <c r="A313" s="2">
        <v>2021</v>
      </c>
      <c r="B313" t="s">
        <v>52</v>
      </c>
      <c r="C313" s="2">
        <v>1664</v>
      </c>
      <c r="D313" s="2">
        <v>1814</v>
      </c>
      <c r="E313" s="2">
        <v>0</v>
      </c>
      <c r="F313" s="2">
        <v>4670</v>
      </c>
      <c r="G313" s="2">
        <v>651</v>
      </c>
      <c r="H313" s="2">
        <v>445</v>
      </c>
      <c r="I313" s="2">
        <v>204</v>
      </c>
      <c r="J313" s="2">
        <v>0</v>
      </c>
      <c r="K313" s="1">
        <v>44197</v>
      </c>
      <c r="L313" s="2">
        <f>SUM(Tabla1[[#This Row],[Serv. Culturales Derecho Hab Publ]:[Soci Comedores Pensionados Jubl]])</f>
        <v>9448</v>
      </c>
    </row>
    <row r="314" spans="1:12" x14ac:dyDescent="0.3">
      <c r="A314" s="2">
        <v>2020</v>
      </c>
      <c r="B314" t="s">
        <v>9</v>
      </c>
      <c r="C314" s="2">
        <v>3320</v>
      </c>
      <c r="D314" s="2">
        <v>5334</v>
      </c>
      <c r="E314" s="2">
        <v>0</v>
      </c>
      <c r="F314" s="2">
        <v>8</v>
      </c>
      <c r="G314" s="2">
        <v>120</v>
      </c>
      <c r="H314" s="2">
        <v>420</v>
      </c>
      <c r="I314" s="2">
        <v>0</v>
      </c>
      <c r="J314" s="2">
        <v>0</v>
      </c>
      <c r="K314" s="1">
        <v>43831</v>
      </c>
      <c r="L314" s="2">
        <f>SUM(Tabla1[[#This Row],[Serv. Culturales Derecho Hab Publ]:[Soci Comedores Pensionados Jubl]])</f>
        <v>9202</v>
      </c>
    </row>
    <row r="315" spans="1:12" x14ac:dyDescent="0.3">
      <c r="A315" s="2">
        <v>2023</v>
      </c>
      <c r="B315" t="s">
        <v>46</v>
      </c>
      <c r="C315" s="2">
        <v>1934</v>
      </c>
      <c r="D315" s="2">
        <v>1408</v>
      </c>
      <c r="E315" s="2">
        <v>6</v>
      </c>
      <c r="F315" s="2">
        <v>1823</v>
      </c>
      <c r="G315" s="2">
        <v>2084</v>
      </c>
      <c r="H315" s="2">
        <v>1004</v>
      </c>
      <c r="I315" s="2">
        <v>566</v>
      </c>
      <c r="J315" s="2">
        <v>0</v>
      </c>
      <c r="K315" s="1">
        <v>44927</v>
      </c>
      <c r="L315" s="2">
        <f>SUM(Tabla1[[#This Row],[Serv. Culturales Derecho Hab Publ]:[Soci Comedores Pensionados Jubl]])</f>
        <v>8825</v>
      </c>
    </row>
    <row r="316" spans="1:12" x14ac:dyDescent="0.3">
      <c r="A316" s="2">
        <v>2024</v>
      </c>
      <c r="B316" t="s">
        <v>46</v>
      </c>
      <c r="C316" s="2">
        <v>1480</v>
      </c>
      <c r="D316" s="2">
        <v>1571</v>
      </c>
      <c r="E316" s="2">
        <v>694</v>
      </c>
      <c r="F316" s="2">
        <v>2294</v>
      </c>
      <c r="G316" s="2">
        <v>1286</v>
      </c>
      <c r="H316" s="2">
        <v>624</v>
      </c>
      <c r="I316" s="2">
        <v>380</v>
      </c>
      <c r="J316" s="2">
        <v>0</v>
      </c>
      <c r="K316" s="1">
        <v>45292</v>
      </c>
      <c r="L316" s="2">
        <f>SUM(Tabla1[[#This Row],[Serv. Culturales Derecho Hab Publ]:[Soci Comedores Pensionados Jubl]])</f>
        <v>8329</v>
      </c>
    </row>
    <row r="317" spans="1:12" x14ac:dyDescent="0.3">
      <c r="A317" s="2">
        <v>2020</v>
      </c>
      <c r="B317" t="s">
        <v>19</v>
      </c>
      <c r="C317" s="2">
        <v>705</v>
      </c>
      <c r="D317" s="2">
        <v>3671</v>
      </c>
      <c r="E317" s="2">
        <v>0</v>
      </c>
      <c r="F317" s="2">
        <v>182</v>
      </c>
      <c r="G317" s="2">
        <v>400</v>
      </c>
      <c r="H317" s="2">
        <v>2363</v>
      </c>
      <c r="I317" s="2">
        <v>800</v>
      </c>
      <c r="J317" s="2">
        <v>0</v>
      </c>
      <c r="K317" s="1">
        <v>43831</v>
      </c>
      <c r="L317" s="2">
        <f>SUM(Tabla1[[#This Row],[Serv. Culturales Derecho Hab Publ]:[Soci Comedores Pensionados Jubl]])</f>
        <v>8121</v>
      </c>
    </row>
    <row r="318" spans="1:12" x14ac:dyDescent="0.3">
      <c r="A318" s="2">
        <v>2020</v>
      </c>
      <c r="B318" t="s">
        <v>32</v>
      </c>
      <c r="C318" s="2">
        <v>2436</v>
      </c>
      <c r="D318" s="2">
        <v>3324</v>
      </c>
      <c r="E318" s="2">
        <v>0</v>
      </c>
      <c r="F318" s="2">
        <v>135</v>
      </c>
      <c r="G318" s="2">
        <v>417</v>
      </c>
      <c r="H318" s="2">
        <v>342</v>
      </c>
      <c r="I318" s="2">
        <v>417</v>
      </c>
      <c r="J318" s="2">
        <v>0</v>
      </c>
      <c r="K318" s="1">
        <v>43831</v>
      </c>
      <c r="L318" s="2">
        <f>SUM(Tabla1[[#This Row],[Serv. Culturales Derecho Hab Publ]:[Soci Comedores Pensionados Jubl]])</f>
        <v>7071</v>
      </c>
    </row>
    <row r="319" spans="1:12" x14ac:dyDescent="0.3">
      <c r="A319" s="2">
        <v>2020</v>
      </c>
      <c r="B319" t="s">
        <v>8</v>
      </c>
      <c r="C319" s="2">
        <v>347</v>
      </c>
      <c r="D319" s="2">
        <v>5275</v>
      </c>
      <c r="E319" s="2">
        <v>0</v>
      </c>
      <c r="F319" s="2">
        <v>142</v>
      </c>
      <c r="G319" s="2">
        <v>840</v>
      </c>
      <c r="H319" s="2">
        <v>425</v>
      </c>
      <c r="I319" s="2">
        <v>31</v>
      </c>
      <c r="J319" s="2">
        <v>0</v>
      </c>
      <c r="K319" s="1">
        <v>43831</v>
      </c>
      <c r="L319" s="2">
        <f>SUM(Tabla1[[#This Row],[Serv. Culturales Derecho Hab Publ]:[Soci Comedores Pensionados Jubl]])</f>
        <v>7060</v>
      </c>
    </row>
    <row r="320" spans="1:12" x14ac:dyDescent="0.3">
      <c r="A320" s="2">
        <v>2024</v>
      </c>
      <c r="B320" t="s">
        <v>17</v>
      </c>
      <c r="C320" s="2">
        <v>787</v>
      </c>
      <c r="D320" s="2">
        <v>1545</v>
      </c>
      <c r="E320" s="2">
        <v>0</v>
      </c>
      <c r="F320" s="2">
        <v>0</v>
      </c>
      <c r="G320" s="2">
        <v>2900</v>
      </c>
      <c r="H320" s="2">
        <v>1456</v>
      </c>
      <c r="I320" s="2">
        <v>207</v>
      </c>
      <c r="J320" s="2">
        <v>0</v>
      </c>
      <c r="K320" s="1">
        <v>45292</v>
      </c>
      <c r="L320" s="2">
        <f>SUM(Tabla1[[#This Row],[Serv. Culturales Derecho Hab Publ]:[Soci Comedores Pensionados Jubl]])</f>
        <v>6895</v>
      </c>
    </row>
    <row r="321" spans="1:12" x14ac:dyDescent="0.3">
      <c r="A321" s="2">
        <v>2022</v>
      </c>
      <c r="B321" t="s">
        <v>4</v>
      </c>
      <c r="C321" s="2">
        <v>177</v>
      </c>
      <c r="D321" s="2">
        <v>241</v>
      </c>
      <c r="E321" s="2">
        <v>0</v>
      </c>
      <c r="F321" s="2">
        <v>0</v>
      </c>
      <c r="G321" s="2">
        <v>3887</v>
      </c>
      <c r="H321" s="2">
        <v>2299</v>
      </c>
      <c r="I321" s="2">
        <v>121</v>
      </c>
      <c r="J321" s="2">
        <v>0</v>
      </c>
      <c r="K321" s="1">
        <v>44562</v>
      </c>
      <c r="L321" s="2">
        <f>SUM(Tabla1[[#This Row],[Serv. Culturales Derecho Hab Publ]:[Soci Comedores Pensionados Jubl]])</f>
        <v>6725</v>
      </c>
    </row>
    <row r="322" spans="1:12" x14ac:dyDescent="0.3">
      <c r="A322" s="2">
        <v>2022</v>
      </c>
      <c r="B322" t="s">
        <v>53</v>
      </c>
      <c r="C322" s="2">
        <v>71</v>
      </c>
      <c r="D322" s="2">
        <v>603</v>
      </c>
      <c r="E322" s="2">
        <v>312</v>
      </c>
      <c r="F322" s="2">
        <v>5550</v>
      </c>
      <c r="G322" s="2">
        <v>1</v>
      </c>
      <c r="H322" s="2">
        <v>0</v>
      </c>
      <c r="I322" s="2">
        <v>3</v>
      </c>
      <c r="J322" s="2">
        <v>0</v>
      </c>
      <c r="K322" s="1">
        <v>44562</v>
      </c>
      <c r="L322" s="2">
        <f>SUM(Tabla1[[#This Row],[Serv. Culturales Derecho Hab Publ]:[Soci Comedores Pensionados Jubl]])</f>
        <v>6540</v>
      </c>
    </row>
    <row r="323" spans="1:12" x14ac:dyDescent="0.3">
      <c r="A323" s="2">
        <v>2023</v>
      </c>
      <c r="B323" t="s">
        <v>47</v>
      </c>
      <c r="C323" s="2">
        <v>971</v>
      </c>
      <c r="D323" s="2">
        <v>2206</v>
      </c>
      <c r="E323" s="2">
        <v>1</v>
      </c>
      <c r="F323" s="2">
        <v>128</v>
      </c>
      <c r="G323" s="2">
        <v>957</v>
      </c>
      <c r="H323" s="2">
        <v>2197</v>
      </c>
      <c r="I323" s="2">
        <v>6</v>
      </c>
      <c r="J323" s="2">
        <v>0</v>
      </c>
      <c r="K323" s="1">
        <v>44927</v>
      </c>
      <c r="L323" s="2">
        <f>SUM(Tabla1[[#This Row],[Serv. Culturales Derecho Hab Publ]:[Soci Comedores Pensionados Jubl]])</f>
        <v>6466</v>
      </c>
    </row>
    <row r="324" spans="1:12" x14ac:dyDescent="0.3">
      <c r="A324" s="2">
        <v>2023</v>
      </c>
      <c r="B324" t="s">
        <v>51</v>
      </c>
      <c r="C324" s="2">
        <v>570</v>
      </c>
      <c r="D324" s="2">
        <v>985</v>
      </c>
      <c r="E324" s="2">
        <v>1</v>
      </c>
      <c r="F324" s="2">
        <v>66</v>
      </c>
      <c r="G324" s="2">
        <v>2891</v>
      </c>
      <c r="H324" s="2">
        <v>1697</v>
      </c>
      <c r="I324" s="2">
        <v>220</v>
      </c>
      <c r="J324" s="2">
        <v>0</v>
      </c>
      <c r="K324" s="1">
        <v>44927</v>
      </c>
      <c r="L324" s="2">
        <f>SUM(Tabla1[[#This Row],[Serv. Culturales Derecho Hab Publ]:[Soci Comedores Pensionados Jubl]])</f>
        <v>6430</v>
      </c>
    </row>
    <row r="325" spans="1:12" x14ac:dyDescent="0.3">
      <c r="A325" s="2">
        <v>2023</v>
      </c>
      <c r="B325" t="s">
        <v>17</v>
      </c>
      <c r="C325" s="2">
        <v>495</v>
      </c>
      <c r="D325" s="2">
        <v>1357</v>
      </c>
      <c r="E325" s="2">
        <v>0</v>
      </c>
      <c r="F325" s="2">
        <v>0</v>
      </c>
      <c r="G325" s="2">
        <v>2650</v>
      </c>
      <c r="H325" s="2">
        <v>1384</v>
      </c>
      <c r="I325" s="2">
        <v>473</v>
      </c>
      <c r="J325" s="2">
        <v>0</v>
      </c>
      <c r="K325" s="1">
        <v>44927</v>
      </c>
      <c r="L325" s="2">
        <f>SUM(Tabla1[[#This Row],[Serv. Culturales Derecho Hab Publ]:[Soci Comedores Pensionados Jubl]])</f>
        <v>6359</v>
      </c>
    </row>
    <row r="326" spans="1:12" x14ac:dyDescent="0.3">
      <c r="A326" s="2">
        <v>2024</v>
      </c>
      <c r="B326" t="s">
        <v>47</v>
      </c>
      <c r="C326" s="2">
        <v>771</v>
      </c>
      <c r="D326" s="2">
        <v>2157</v>
      </c>
      <c r="E326" s="2">
        <v>2</v>
      </c>
      <c r="F326" s="2">
        <v>120</v>
      </c>
      <c r="G326" s="2">
        <v>1081</v>
      </c>
      <c r="H326" s="2">
        <v>2180</v>
      </c>
      <c r="I326" s="2">
        <v>15</v>
      </c>
      <c r="J326" s="2">
        <v>0</v>
      </c>
      <c r="K326" s="1">
        <v>45292</v>
      </c>
      <c r="L326" s="2">
        <f>SUM(Tabla1[[#This Row],[Serv. Culturales Derecho Hab Publ]:[Soci Comedores Pensionados Jubl]])</f>
        <v>6326</v>
      </c>
    </row>
    <row r="327" spans="1:12" x14ac:dyDescent="0.3">
      <c r="A327" s="2">
        <v>2022</v>
      </c>
      <c r="B327" t="s">
        <v>47</v>
      </c>
      <c r="C327" s="2">
        <v>950</v>
      </c>
      <c r="D327" s="2">
        <v>1780</v>
      </c>
      <c r="E327" s="2">
        <v>2</v>
      </c>
      <c r="F327" s="2">
        <v>35</v>
      </c>
      <c r="G327" s="2">
        <v>1719</v>
      </c>
      <c r="H327" s="2">
        <v>1755</v>
      </c>
      <c r="I327" s="2">
        <v>12</v>
      </c>
      <c r="J327" s="2">
        <v>0</v>
      </c>
      <c r="K327" s="1">
        <v>44562</v>
      </c>
      <c r="L327" s="2">
        <f>SUM(Tabla1[[#This Row],[Serv. Culturales Derecho Hab Publ]:[Soci Comedores Pensionados Jubl]])</f>
        <v>6253</v>
      </c>
    </row>
    <row r="328" spans="1:12" x14ac:dyDescent="0.3">
      <c r="A328" s="2">
        <v>2023</v>
      </c>
      <c r="B328" t="s">
        <v>6</v>
      </c>
      <c r="C328" s="2">
        <v>180</v>
      </c>
      <c r="D328" s="2">
        <v>2926</v>
      </c>
      <c r="E328" s="2">
        <v>0</v>
      </c>
      <c r="F328" s="2">
        <v>41</v>
      </c>
      <c r="G328" s="2">
        <v>1347</v>
      </c>
      <c r="H328" s="2">
        <v>1496</v>
      </c>
      <c r="I328" s="2">
        <v>192</v>
      </c>
      <c r="J328" s="2">
        <v>0</v>
      </c>
      <c r="K328" s="1">
        <v>44927</v>
      </c>
      <c r="L328" s="2">
        <f>SUM(Tabla1[[#This Row],[Serv. Culturales Derecho Hab Publ]:[Soci Comedores Pensionados Jubl]])</f>
        <v>6182</v>
      </c>
    </row>
    <row r="329" spans="1:12" x14ac:dyDescent="0.3">
      <c r="A329" s="2">
        <v>2021</v>
      </c>
      <c r="B329" t="s">
        <v>55</v>
      </c>
      <c r="C329" s="2">
        <v>1363</v>
      </c>
      <c r="D329" s="2">
        <v>2117</v>
      </c>
      <c r="E329" s="2">
        <v>9</v>
      </c>
      <c r="F329" s="2">
        <v>41</v>
      </c>
      <c r="G329" s="2">
        <v>782</v>
      </c>
      <c r="H329" s="2">
        <v>1821</v>
      </c>
      <c r="I329" s="2">
        <v>22</v>
      </c>
      <c r="J329" s="2">
        <v>0</v>
      </c>
      <c r="K329" s="1">
        <v>44197</v>
      </c>
      <c r="L329" s="2">
        <f>SUM(Tabla1[[#This Row],[Serv. Culturales Derecho Hab Publ]:[Soci Comedores Pensionados Jubl]])</f>
        <v>6155</v>
      </c>
    </row>
    <row r="330" spans="1:12" x14ac:dyDescent="0.3">
      <c r="A330" s="2">
        <v>2020</v>
      </c>
      <c r="B330" t="s">
        <v>49</v>
      </c>
      <c r="C330" s="2">
        <v>1164</v>
      </c>
      <c r="D330" s="2">
        <v>2825</v>
      </c>
      <c r="E330" s="2">
        <v>0</v>
      </c>
      <c r="F330" s="2">
        <v>0</v>
      </c>
      <c r="G330" s="2">
        <v>369</v>
      </c>
      <c r="H330" s="2">
        <v>590</v>
      </c>
      <c r="I330" s="2">
        <v>951</v>
      </c>
      <c r="J330" s="2">
        <v>0</v>
      </c>
      <c r="K330" s="1">
        <v>43831</v>
      </c>
      <c r="L330" s="2">
        <f>SUM(Tabla1[[#This Row],[Serv. Culturales Derecho Hab Publ]:[Soci Comedores Pensionados Jubl]])</f>
        <v>5899</v>
      </c>
    </row>
    <row r="331" spans="1:12" x14ac:dyDescent="0.3">
      <c r="A331" s="2">
        <v>2023</v>
      </c>
      <c r="B331" t="s">
        <v>54</v>
      </c>
      <c r="C331" s="2">
        <v>9</v>
      </c>
      <c r="D331" s="2">
        <v>1956</v>
      </c>
      <c r="E331" s="2">
        <v>220</v>
      </c>
      <c r="F331" s="2">
        <v>21</v>
      </c>
      <c r="G331" s="2">
        <v>2464</v>
      </c>
      <c r="H331" s="2">
        <v>1131</v>
      </c>
      <c r="I331" s="2">
        <v>14</v>
      </c>
      <c r="J331" s="2">
        <v>0</v>
      </c>
      <c r="K331" s="1">
        <v>44927</v>
      </c>
      <c r="L331" s="2">
        <f>SUM(Tabla1[[#This Row],[Serv. Culturales Derecho Hab Publ]:[Soci Comedores Pensionados Jubl]])</f>
        <v>5815</v>
      </c>
    </row>
    <row r="332" spans="1:12" x14ac:dyDescent="0.3">
      <c r="A332" s="2">
        <v>2022</v>
      </c>
      <c r="B332" t="s">
        <v>17</v>
      </c>
      <c r="C332" s="2">
        <v>378</v>
      </c>
      <c r="D332" s="2">
        <v>793</v>
      </c>
      <c r="E332" s="2">
        <v>519</v>
      </c>
      <c r="F332" s="2">
        <v>0</v>
      </c>
      <c r="G332" s="2">
        <v>3177</v>
      </c>
      <c r="H332" s="2">
        <v>502</v>
      </c>
      <c r="I332" s="2">
        <v>444</v>
      </c>
      <c r="J332" s="2">
        <v>0</v>
      </c>
      <c r="K332" s="1">
        <v>44562</v>
      </c>
      <c r="L332" s="2">
        <f>SUM(Tabla1[[#This Row],[Serv. Culturales Derecho Hab Publ]:[Soci Comedores Pensionados Jubl]])</f>
        <v>5813</v>
      </c>
    </row>
    <row r="333" spans="1:12" x14ac:dyDescent="0.3">
      <c r="A333" s="2">
        <v>2024</v>
      </c>
      <c r="B333" t="s">
        <v>51</v>
      </c>
      <c r="C333" s="2">
        <v>380</v>
      </c>
      <c r="D333" s="2">
        <v>652</v>
      </c>
      <c r="E333" s="2">
        <v>29</v>
      </c>
      <c r="F333" s="2">
        <v>206</v>
      </c>
      <c r="G333" s="2">
        <v>2768</v>
      </c>
      <c r="H333" s="2">
        <v>1382</v>
      </c>
      <c r="I333" s="2">
        <v>352</v>
      </c>
      <c r="J333" s="2">
        <v>0</v>
      </c>
      <c r="K333" s="1">
        <v>45292</v>
      </c>
      <c r="L333" s="2">
        <f>SUM(Tabla1[[#This Row],[Serv. Culturales Derecho Hab Publ]:[Soci Comedores Pensionados Jubl]])</f>
        <v>5769</v>
      </c>
    </row>
    <row r="334" spans="1:12" x14ac:dyDescent="0.3">
      <c r="A334" s="2">
        <v>2022</v>
      </c>
      <c r="B334" t="s">
        <v>22</v>
      </c>
      <c r="C334" s="2">
        <v>546</v>
      </c>
      <c r="D334" s="2">
        <v>653</v>
      </c>
      <c r="E334" s="2">
        <v>134</v>
      </c>
      <c r="F334" s="2">
        <v>82</v>
      </c>
      <c r="G334" s="2">
        <v>3826</v>
      </c>
      <c r="H334" s="2">
        <v>431</v>
      </c>
      <c r="I334" s="2">
        <v>9</v>
      </c>
      <c r="J334" s="2">
        <v>0</v>
      </c>
      <c r="K334" s="1">
        <v>44562</v>
      </c>
      <c r="L334" s="2">
        <f>SUM(Tabla1[[#This Row],[Serv. Culturales Derecho Hab Publ]:[Soci Comedores Pensionados Jubl]])</f>
        <v>5681</v>
      </c>
    </row>
    <row r="335" spans="1:12" x14ac:dyDescent="0.3">
      <c r="A335" s="2">
        <v>2022</v>
      </c>
      <c r="B335" t="s">
        <v>51</v>
      </c>
      <c r="C335" s="2">
        <v>467</v>
      </c>
      <c r="D335" s="2">
        <v>719</v>
      </c>
      <c r="E335" s="2">
        <v>84</v>
      </c>
      <c r="F335" s="2">
        <v>234</v>
      </c>
      <c r="G335" s="2">
        <v>2344</v>
      </c>
      <c r="H335" s="2">
        <v>1524</v>
      </c>
      <c r="I335" s="2">
        <v>235</v>
      </c>
      <c r="J335" s="2">
        <v>0</v>
      </c>
      <c r="K335" s="1">
        <v>44562</v>
      </c>
      <c r="L335" s="2">
        <f>SUM(Tabla1[[#This Row],[Serv. Culturales Derecho Hab Publ]:[Soci Comedores Pensionados Jubl]])</f>
        <v>5607</v>
      </c>
    </row>
    <row r="336" spans="1:12" x14ac:dyDescent="0.3">
      <c r="A336" s="2">
        <v>2023</v>
      </c>
      <c r="B336" t="s">
        <v>55</v>
      </c>
      <c r="C336" s="2">
        <v>646</v>
      </c>
      <c r="D336" s="2">
        <v>1208</v>
      </c>
      <c r="E336" s="2">
        <v>0</v>
      </c>
      <c r="F336" s="2">
        <v>2012</v>
      </c>
      <c r="G336" s="2">
        <v>1445</v>
      </c>
      <c r="H336" s="2">
        <v>0</v>
      </c>
      <c r="I336" s="2">
        <v>0</v>
      </c>
      <c r="J336" s="2">
        <v>0</v>
      </c>
      <c r="K336" s="1">
        <v>44927</v>
      </c>
      <c r="L336" s="2">
        <f>SUM(Tabla1[[#This Row],[Serv. Culturales Derecho Hab Publ]:[Soci Comedores Pensionados Jubl]])</f>
        <v>5311</v>
      </c>
    </row>
    <row r="337" spans="1:12" x14ac:dyDescent="0.3">
      <c r="A337" s="2">
        <v>2021</v>
      </c>
      <c r="B337" t="s">
        <v>11</v>
      </c>
      <c r="C337" s="2">
        <v>245</v>
      </c>
      <c r="D337" s="2">
        <v>389</v>
      </c>
      <c r="E337" s="2">
        <v>0</v>
      </c>
      <c r="F337" s="2">
        <v>3750</v>
      </c>
      <c r="G337" s="2">
        <v>365</v>
      </c>
      <c r="H337" s="2">
        <v>367</v>
      </c>
      <c r="I337" s="2">
        <v>120</v>
      </c>
      <c r="J337" s="2">
        <v>0</v>
      </c>
      <c r="K337" s="1">
        <v>44197</v>
      </c>
      <c r="L337" s="2">
        <f>SUM(Tabla1[[#This Row],[Serv. Culturales Derecho Hab Publ]:[Soci Comedores Pensionados Jubl]])</f>
        <v>5236</v>
      </c>
    </row>
    <row r="338" spans="1:12" x14ac:dyDescent="0.3">
      <c r="A338" s="2">
        <v>2022</v>
      </c>
      <c r="B338" t="s">
        <v>24</v>
      </c>
      <c r="C338" s="2">
        <v>170</v>
      </c>
      <c r="D338" s="2">
        <v>4992</v>
      </c>
      <c r="E338" s="2">
        <v>0</v>
      </c>
      <c r="F338" s="2">
        <v>5</v>
      </c>
      <c r="G338" s="2">
        <v>0</v>
      </c>
      <c r="H338" s="2">
        <v>0</v>
      </c>
      <c r="I338" s="2">
        <v>53</v>
      </c>
      <c r="J338" s="2">
        <v>0</v>
      </c>
      <c r="K338" s="1">
        <v>44562</v>
      </c>
      <c r="L338" s="2">
        <f>SUM(Tabla1[[#This Row],[Serv. Culturales Derecho Hab Publ]:[Soci Comedores Pensionados Jubl]])</f>
        <v>5220</v>
      </c>
    </row>
    <row r="339" spans="1:12" x14ac:dyDescent="0.3">
      <c r="A339" s="2">
        <v>2021</v>
      </c>
      <c r="B339" t="s">
        <v>47</v>
      </c>
      <c r="C339" s="2">
        <v>830</v>
      </c>
      <c r="D339" s="2">
        <v>1794</v>
      </c>
      <c r="E339" s="2">
        <v>0</v>
      </c>
      <c r="F339" s="2">
        <v>58</v>
      </c>
      <c r="G339" s="2">
        <v>755</v>
      </c>
      <c r="H339" s="2">
        <v>1571</v>
      </c>
      <c r="I339" s="2">
        <v>1</v>
      </c>
      <c r="J339" s="2">
        <v>0</v>
      </c>
      <c r="K339" s="1">
        <v>44197</v>
      </c>
      <c r="L339" s="2">
        <f>SUM(Tabla1[[#This Row],[Serv. Culturales Derecho Hab Publ]:[Soci Comedores Pensionados Jubl]])</f>
        <v>5009</v>
      </c>
    </row>
    <row r="340" spans="1:12" x14ac:dyDescent="0.3">
      <c r="A340" s="2">
        <v>2024</v>
      </c>
      <c r="B340" t="s">
        <v>58</v>
      </c>
      <c r="C340" s="2">
        <v>86</v>
      </c>
      <c r="D340" s="2">
        <v>1710</v>
      </c>
      <c r="E340" s="2">
        <v>285</v>
      </c>
      <c r="F340" s="2">
        <v>38</v>
      </c>
      <c r="G340" s="2">
        <v>1732</v>
      </c>
      <c r="H340" s="2">
        <v>1093</v>
      </c>
      <c r="I340" s="2">
        <v>34</v>
      </c>
      <c r="J340" s="2">
        <v>0</v>
      </c>
      <c r="K340" s="1">
        <v>45292</v>
      </c>
      <c r="L340" s="2">
        <f>SUM(Tabla1[[#This Row],[Serv. Culturales Derecho Hab Publ]:[Soci Comedores Pensionados Jubl]])</f>
        <v>4978</v>
      </c>
    </row>
    <row r="341" spans="1:12" x14ac:dyDescent="0.3">
      <c r="A341" s="2">
        <v>2020</v>
      </c>
      <c r="B341" t="s">
        <v>18</v>
      </c>
      <c r="C341" s="2">
        <v>1295</v>
      </c>
      <c r="D341" s="2">
        <v>2139</v>
      </c>
      <c r="E341" s="2">
        <v>0</v>
      </c>
      <c r="F341" s="2">
        <v>0</v>
      </c>
      <c r="G341" s="2">
        <v>0</v>
      </c>
      <c r="H341" s="2">
        <v>1262</v>
      </c>
      <c r="I341" s="2">
        <v>152</v>
      </c>
      <c r="J341" s="2">
        <v>0</v>
      </c>
      <c r="K341" s="1">
        <v>43831</v>
      </c>
      <c r="L341" s="2">
        <f>SUM(Tabla1[[#This Row],[Serv. Culturales Derecho Hab Publ]:[Soci Comedores Pensionados Jubl]])</f>
        <v>4848</v>
      </c>
    </row>
    <row r="342" spans="1:12" x14ac:dyDescent="0.3">
      <c r="A342" s="2">
        <v>2025</v>
      </c>
      <c r="B342" t="s">
        <v>57</v>
      </c>
      <c r="C342" s="2">
        <v>722</v>
      </c>
      <c r="D342" s="2">
        <v>691</v>
      </c>
      <c r="E342" s="2">
        <v>0</v>
      </c>
      <c r="F342" s="2">
        <v>2393</v>
      </c>
      <c r="G342" s="2">
        <v>242</v>
      </c>
      <c r="H342" s="2">
        <v>451</v>
      </c>
      <c r="I342" s="2">
        <v>249</v>
      </c>
      <c r="J342" s="2">
        <v>0</v>
      </c>
      <c r="K342" s="1">
        <v>45658</v>
      </c>
      <c r="L342" s="2">
        <f>SUM(Tabla1[[#This Row],[Serv. Culturales Derecho Hab Publ]:[Soci Comedores Pensionados Jubl]])</f>
        <v>4748</v>
      </c>
    </row>
    <row r="343" spans="1:12" x14ac:dyDescent="0.3">
      <c r="A343" s="2">
        <v>2024</v>
      </c>
      <c r="B343" t="s">
        <v>10</v>
      </c>
      <c r="C343" s="2">
        <v>609</v>
      </c>
      <c r="D343" s="2">
        <v>756</v>
      </c>
      <c r="E343" s="2">
        <v>0</v>
      </c>
      <c r="F343" s="2">
        <v>20</v>
      </c>
      <c r="G343" s="2">
        <v>2989</v>
      </c>
      <c r="H343" s="2">
        <v>317</v>
      </c>
      <c r="I343" s="2">
        <v>12</v>
      </c>
      <c r="J343" s="2">
        <v>0</v>
      </c>
      <c r="K343" s="1">
        <v>45292</v>
      </c>
      <c r="L343" s="2">
        <f>SUM(Tabla1[[#This Row],[Serv. Culturales Derecho Hab Publ]:[Soci Comedores Pensionados Jubl]])</f>
        <v>4703</v>
      </c>
    </row>
    <row r="344" spans="1:12" x14ac:dyDescent="0.3">
      <c r="A344" s="2">
        <v>2024</v>
      </c>
      <c r="B344" t="s">
        <v>12</v>
      </c>
      <c r="C344" s="2">
        <v>238</v>
      </c>
      <c r="D344" s="2">
        <v>2013</v>
      </c>
      <c r="E344" s="2">
        <v>0</v>
      </c>
      <c r="F344" s="2">
        <v>37</v>
      </c>
      <c r="G344" s="2">
        <v>698</v>
      </c>
      <c r="H344" s="2">
        <v>862</v>
      </c>
      <c r="I344" s="2">
        <v>809</v>
      </c>
      <c r="J344" s="2">
        <v>0</v>
      </c>
      <c r="K344" s="1">
        <v>45292</v>
      </c>
      <c r="L344" s="2">
        <f>SUM(Tabla1[[#This Row],[Serv. Culturales Derecho Hab Publ]:[Soci Comedores Pensionados Jubl]])</f>
        <v>4657</v>
      </c>
    </row>
    <row r="345" spans="1:12" x14ac:dyDescent="0.3">
      <c r="A345" s="2">
        <v>2024</v>
      </c>
      <c r="B345" t="s">
        <v>2</v>
      </c>
      <c r="C345" s="2">
        <v>69</v>
      </c>
      <c r="D345" s="2">
        <v>1315</v>
      </c>
      <c r="E345" s="2">
        <v>19</v>
      </c>
      <c r="F345" s="2">
        <v>0</v>
      </c>
      <c r="G345" s="2">
        <v>1322</v>
      </c>
      <c r="H345" s="2">
        <v>1246</v>
      </c>
      <c r="I345" s="2">
        <v>443</v>
      </c>
      <c r="J345" s="2">
        <v>0</v>
      </c>
      <c r="K345" s="1">
        <v>45292</v>
      </c>
      <c r="L345" s="2">
        <f>SUM(Tabla1[[#This Row],[Serv. Culturales Derecho Hab Publ]:[Soci Comedores Pensionados Jubl]])</f>
        <v>4414</v>
      </c>
    </row>
    <row r="346" spans="1:12" x14ac:dyDescent="0.3">
      <c r="A346" s="2">
        <v>2022</v>
      </c>
      <c r="B346" t="s">
        <v>23</v>
      </c>
      <c r="C346" s="2">
        <v>420</v>
      </c>
      <c r="D346" s="2">
        <v>1525</v>
      </c>
      <c r="E346" s="2">
        <v>0</v>
      </c>
      <c r="F346" s="2">
        <v>0</v>
      </c>
      <c r="G346" s="2">
        <v>2452</v>
      </c>
      <c r="H346" s="2">
        <v>1</v>
      </c>
      <c r="I346" s="2">
        <v>0</v>
      </c>
      <c r="J346" s="2">
        <v>0</v>
      </c>
      <c r="K346" s="1">
        <v>44562</v>
      </c>
      <c r="L346" s="2">
        <f>SUM(Tabla1[[#This Row],[Serv. Culturales Derecho Hab Publ]:[Soci Comedores Pensionados Jubl]])</f>
        <v>4398</v>
      </c>
    </row>
    <row r="347" spans="1:12" x14ac:dyDescent="0.3">
      <c r="A347" s="2">
        <v>2025</v>
      </c>
      <c r="B347" t="s">
        <v>56</v>
      </c>
      <c r="C347" s="2">
        <v>1252</v>
      </c>
      <c r="D347" s="2">
        <v>1092</v>
      </c>
      <c r="E347" s="2">
        <v>0</v>
      </c>
      <c r="F347" s="2">
        <v>693</v>
      </c>
      <c r="G347" s="2">
        <v>372</v>
      </c>
      <c r="H347" s="2">
        <v>699</v>
      </c>
      <c r="I347" s="2">
        <v>166</v>
      </c>
      <c r="J347" s="2">
        <v>0</v>
      </c>
      <c r="K347" s="1">
        <v>45658</v>
      </c>
      <c r="L347" s="2">
        <f>SUM(Tabla1[[#This Row],[Serv. Culturales Derecho Hab Publ]:[Soci Comedores Pensionados Jubl]])</f>
        <v>4274</v>
      </c>
    </row>
    <row r="348" spans="1:12" x14ac:dyDescent="0.3">
      <c r="A348" s="2">
        <v>2023</v>
      </c>
      <c r="B348" t="s">
        <v>2</v>
      </c>
      <c r="C348" s="2">
        <v>101</v>
      </c>
      <c r="D348" s="2">
        <v>1260</v>
      </c>
      <c r="E348" s="2">
        <v>0</v>
      </c>
      <c r="F348" s="2">
        <v>0</v>
      </c>
      <c r="G348" s="2">
        <v>1294</v>
      </c>
      <c r="H348" s="2">
        <v>1254</v>
      </c>
      <c r="I348" s="2">
        <v>351</v>
      </c>
      <c r="J348" s="2">
        <v>0</v>
      </c>
      <c r="K348" s="1">
        <v>44927</v>
      </c>
      <c r="L348" s="2">
        <f>SUM(Tabla1[[#This Row],[Serv. Culturales Derecho Hab Publ]:[Soci Comedores Pensionados Jubl]])</f>
        <v>4260</v>
      </c>
    </row>
    <row r="349" spans="1:12" x14ac:dyDescent="0.3">
      <c r="A349" s="2">
        <v>2022</v>
      </c>
      <c r="B349" t="s">
        <v>10</v>
      </c>
      <c r="C349" s="2">
        <v>415</v>
      </c>
      <c r="D349" s="2">
        <v>626</v>
      </c>
      <c r="E349" s="2">
        <v>236</v>
      </c>
      <c r="F349" s="2">
        <v>49</v>
      </c>
      <c r="G349" s="2">
        <v>2666</v>
      </c>
      <c r="H349" s="2">
        <v>261</v>
      </c>
      <c r="I349" s="2">
        <v>5</v>
      </c>
      <c r="J349" s="2">
        <v>0</v>
      </c>
      <c r="K349" s="1">
        <v>44562</v>
      </c>
      <c r="L349" s="2">
        <f>SUM(Tabla1[[#This Row],[Serv. Culturales Derecho Hab Publ]:[Soci Comedores Pensionados Jubl]])</f>
        <v>4258</v>
      </c>
    </row>
    <row r="350" spans="1:12" x14ac:dyDescent="0.3">
      <c r="A350" s="2">
        <v>2023</v>
      </c>
      <c r="B350" t="s">
        <v>12</v>
      </c>
      <c r="C350" s="2">
        <v>596</v>
      </c>
      <c r="D350" s="2">
        <v>1901</v>
      </c>
      <c r="E350" s="2">
        <v>0</v>
      </c>
      <c r="F350" s="2">
        <v>41</v>
      </c>
      <c r="G350" s="2">
        <v>819</v>
      </c>
      <c r="H350" s="2">
        <v>720</v>
      </c>
      <c r="I350" s="2">
        <v>180</v>
      </c>
      <c r="J350" s="2">
        <v>0</v>
      </c>
      <c r="K350" s="1">
        <v>44927</v>
      </c>
      <c r="L350" s="2">
        <f>SUM(Tabla1[[#This Row],[Serv. Culturales Derecho Hab Publ]:[Soci Comedores Pensionados Jubl]])</f>
        <v>4257</v>
      </c>
    </row>
    <row r="351" spans="1:12" x14ac:dyDescent="0.3">
      <c r="A351" s="2">
        <v>2021</v>
      </c>
      <c r="B351" t="s">
        <v>54</v>
      </c>
      <c r="C351" s="2">
        <v>162</v>
      </c>
      <c r="D351" s="2">
        <v>685</v>
      </c>
      <c r="E351" s="2">
        <v>8</v>
      </c>
      <c r="F351" s="2">
        <v>1931</v>
      </c>
      <c r="G351" s="2">
        <v>1060</v>
      </c>
      <c r="H351" s="2">
        <v>403</v>
      </c>
      <c r="I351" s="2">
        <v>2</v>
      </c>
      <c r="J351" s="2">
        <v>0</v>
      </c>
      <c r="K351" s="1">
        <v>44197</v>
      </c>
      <c r="L351" s="2">
        <f>SUM(Tabla1[[#This Row],[Serv. Culturales Derecho Hab Publ]:[Soci Comedores Pensionados Jubl]])</f>
        <v>4251</v>
      </c>
    </row>
    <row r="352" spans="1:12" x14ac:dyDescent="0.3">
      <c r="A352" s="2">
        <v>2021</v>
      </c>
      <c r="B352" t="s">
        <v>6</v>
      </c>
      <c r="C352" s="2">
        <v>97</v>
      </c>
      <c r="D352" s="2">
        <v>1944</v>
      </c>
      <c r="E352" s="2">
        <v>0</v>
      </c>
      <c r="F352" s="2">
        <v>0</v>
      </c>
      <c r="G352" s="2">
        <v>1200</v>
      </c>
      <c r="H352" s="2">
        <v>877</v>
      </c>
      <c r="I352" s="2">
        <v>26</v>
      </c>
      <c r="J352" s="2">
        <v>0</v>
      </c>
      <c r="K352" s="1">
        <v>44197</v>
      </c>
      <c r="L352" s="2">
        <f>SUM(Tabla1[[#This Row],[Serv. Culturales Derecho Hab Publ]:[Soci Comedores Pensionados Jubl]])</f>
        <v>4144</v>
      </c>
    </row>
    <row r="353" spans="1:12" x14ac:dyDescent="0.3">
      <c r="A353" s="2">
        <v>2023</v>
      </c>
      <c r="B353" t="s">
        <v>10</v>
      </c>
      <c r="C353" s="2">
        <v>481</v>
      </c>
      <c r="D353" s="2">
        <v>638</v>
      </c>
      <c r="E353" s="2">
        <v>0</v>
      </c>
      <c r="F353" s="2">
        <v>33</v>
      </c>
      <c r="G353" s="2">
        <v>2660</v>
      </c>
      <c r="H353" s="2">
        <v>283</v>
      </c>
      <c r="I353" s="2">
        <v>3</v>
      </c>
      <c r="J353" s="2">
        <v>0</v>
      </c>
      <c r="K353" s="1">
        <v>44927</v>
      </c>
      <c r="L353" s="2">
        <f>SUM(Tabla1[[#This Row],[Serv. Culturales Derecho Hab Publ]:[Soci Comedores Pensionados Jubl]])</f>
        <v>4098</v>
      </c>
    </row>
    <row r="354" spans="1:12" x14ac:dyDescent="0.3">
      <c r="A354" s="2">
        <v>2022</v>
      </c>
      <c r="B354" t="s">
        <v>54</v>
      </c>
      <c r="C354" s="2">
        <v>5</v>
      </c>
      <c r="D354" s="2">
        <v>1070</v>
      </c>
      <c r="E354" s="2">
        <v>0</v>
      </c>
      <c r="F354" s="2">
        <v>41</v>
      </c>
      <c r="G354" s="2">
        <v>2223</v>
      </c>
      <c r="H354" s="2">
        <v>750</v>
      </c>
      <c r="I354" s="2">
        <v>4</v>
      </c>
      <c r="J354" s="2">
        <v>0</v>
      </c>
      <c r="K354" s="1">
        <v>44562</v>
      </c>
      <c r="L354" s="2">
        <f>SUM(Tabla1[[#This Row],[Serv. Culturales Derecho Hab Publ]:[Soci Comedores Pensionados Jubl]])</f>
        <v>4093</v>
      </c>
    </row>
    <row r="355" spans="1:12" x14ac:dyDescent="0.3">
      <c r="A355" s="2">
        <v>2022</v>
      </c>
      <c r="B355" t="s">
        <v>5</v>
      </c>
      <c r="C355" s="2">
        <v>110</v>
      </c>
      <c r="D355" s="2">
        <v>680</v>
      </c>
      <c r="E355" s="2">
        <v>0</v>
      </c>
      <c r="F355" s="2">
        <v>60</v>
      </c>
      <c r="G355" s="2">
        <v>1802</v>
      </c>
      <c r="H355" s="2">
        <v>623</v>
      </c>
      <c r="I355" s="2">
        <v>449</v>
      </c>
      <c r="J355" s="2">
        <v>0</v>
      </c>
      <c r="K355" s="1">
        <v>44562</v>
      </c>
      <c r="L355" s="2">
        <f>SUM(Tabla1[[#This Row],[Serv. Culturales Derecho Hab Publ]:[Soci Comedores Pensionados Jubl]])</f>
        <v>3724</v>
      </c>
    </row>
    <row r="356" spans="1:12" x14ac:dyDescent="0.3">
      <c r="A356" s="2">
        <v>2023</v>
      </c>
      <c r="B356" t="s">
        <v>24</v>
      </c>
      <c r="C356" s="2">
        <v>264</v>
      </c>
      <c r="D356" s="2">
        <v>3407</v>
      </c>
      <c r="E356" s="2">
        <v>0</v>
      </c>
      <c r="F356" s="2">
        <v>3</v>
      </c>
      <c r="G356" s="2">
        <v>0</v>
      </c>
      <c r="H356" s="2">
        <v>1</v>
      </c>
      <c r="I356" s="2">
        <v>14</v>
      </c>
      <c r="J356" s="2">
        <v>0</v>
      </c>
      <c r="K356" s="1">
        <v>44927</v>
      </c>
      <c r="L356" s="2">
        <f>SUM(Tabla1[[#This Row],[Serv. Culturales Derecho Hab Publ]:[Soci Comedores Pensionados Jubl]])</f>
        <v>3689</v>
      </c>
    </row>
    <row r="357" spans="1:12" x14ac:dyDescent="0.3">
      <c r="A357" s="2">
        <v>2023</v>
      </c>
      <c r="B357" t="s">
        <v>5</v>
      </c>
      <c r="C357" s="2">
        <v>179</v>
      </c>
      <c r="D357" s="2">
        <v>651</v>
      </c>
      <c r="E357" s="2">
        <v>0</v>
      </c>
      <c r="F357" s="2">
        <v>51</v>
      </c>
      <c r="G357" s="2">
        <v>1711</v>
      </c>
      <c r="H357" s="2">
        <v>558</v>
      </c>
      <c r="I357" s="2">
        <v>536</v>
      </c>
      <c r="J357" s="2">
        <v>0</v>
      </c>
      <c r="K357" s="1">
        <v>44927</v>
      </c>
      <c r="L357" s="2">
        <f>SUM(Tabla1[[#This Row],[Serv. Culturales Derecho Hab Publ]:[Soci Comedores Pensionados Jubl]])</f>
        <v>3686</v>
      </c>
    </row>
    <row r="358" spans="1:12" x14ac:dyDescent="0.3">
      <c r="A358" s="2">
        <v>2021</v>
      </c>
      <c r="B358" t="s">
        <v>5</v>
      </c>
      <c r="C358" s="2">
        <v>34</v>
      </c>
      <c r="D358" s="2">
        <v>551</v>
      </c>
      <c r="E358" s="2">
        <v>0</v>
      </c>
      <c r="F358" s="2">
        <v>12</v>
      </c>
      <c r="G358" s="2">
        <v>1820</v>
      </c>
      <c r="H358" s="2">
        <v>752</v>
      </c>
      <c r="I358" s="2">
        <v>504</v>
      </c>
      <c r="J358" s="2">
        <v>0</v>
      </c>
      <c r="K358" s="1">
        <v>44197</v>
      </c>
      <c r="L358" s="2">
        <f>SUM(Tabla1[[#This Row],[Serv. Culturales Derecho Hab Publ]:[Soci Comedores Pensionados Jubl]])</f>
        <v>3673</v>
      </c>
    </row>
    <row r="359" spans="1:12" x14ac:dyDescent="0.3">
      <c r="A359" s="2">
        <v>2023</v>
      </c>
      <c r="B359" t="s">
        <v>0</v>
      </c>
      <c r="C359" s="2">
        <v>783</v>
      </c>
      <c r="D359" s="2">
        <v>1632</v>
      </c>
      <c r="E359" s="2">
        <v>28</v>
      </c>
      <c r="F359" s="2">
        <v>5</v>
      </c>
      <c r="G359" s="2">
        <v>195</v>
      </c>
      <c r="H359" s="2">
        <v>735</v>
      </c>
      <c r="I359" s="2">
        <v>164</v>
      </c>
      <c r="J359" s="2">
        <v>0</v>
      </c>
      <c r="K359" s="1">
        <v>44927</v>
      </c>
      <c r="L359" s="2">
        <f>SUM(Tabla1[[#This Row],[Serv. Culturales Derecho Hab Publ]:[Soci Comedores Pensionados Jubl]])</f>
        <v>3542</v>
      </c>
    </row>
    <row r="360" spans="1:12" x14ac:dyDescent="0.3">
      <c r="A360" s="2">
        <v>2024</v>
      </c>
      <c r="B360" t="s">
        <v>22</v>
      </c>
      <c r="C360" s="2">
        <v>162</v>
      </c>
      <c r="D360" s="2">
        <v>742</v>
      </c>
      <c r="E360" s="2">
        <v>1</v>
      </c>
      <c r="F360" s="2">
        <v>111</v>
      </c>
      <c r="G360" s="2">
        <v>1014</v>
      </c>
      <c r="H360" s="2">
        <v>1122</v>
      </c>
      <c r="I360" s="2">
        <v>257</v>
      </c>
      <c r="J360" s="2">
        <v>0</v>
      </c>
      <c r="K360" s="1">
        <v>45292</v>
      </c>
      <c r="L360" s="2">
        <f>SUM(Tabla1[[#This Row],[Serv. Culturales Derecho Hab Publ]:[Soci Comedores Pensionados Jubl]])</f>
        <v>3409</v>
      </c>
    </row>
    <row r="361" spans="1:12" x14ac:dyDescent="0.3">
      <c r="A361" s="2">
        <v>2024</v>
      </c>
      <c r="B361" t="s">
        <v>59</v>
      </c>
      <c r="C361" s="2">
        <v>85</v>
      </c>
      <c r="D361" s="2">
        <v>271</v>
      </c>
      <c r="E361" s="2">
        <v>0</v>
      </c>
      <c r="F361" s="2">
        <v>2083</v>
      </c>
      <c r="G361" s="2">
        <v>950</v>
      </c>
      <c r="H361" s="2">
        <v>0</v>
      </c>
      <c r="I361" s="2">
        <v>0</v>
      </c>
      <c r="J361" s="2">
        <v>0</v>
      </c>
      <c r="K361" s="1">
        <v>45292</v>
      </c>
      <c r="L361" s="2">
        <f>SUM(Tabla1[[#This Row],[Serv. Culturales Derecho Hab Publ]:[Soci Comedores Pensionados Jubl]])</f>
        <v>3389</v>
      </c>
    </row>
    <row r="362" spans="1:12" x14ac:dyDescent="0.3">
      <c r="A362" s="2">
        <v>2024</v>
      </c>
      <c r="B362" t="s">
        <v>0</v>
      </c>
      <c r="C362" s="2">
        <v>846</v>
      </c>
      <c r="D362" s="2">
        <v>1259</v>
      </c>
      <c r="E362" s="2">
        <v>0</v>
      </c>
      <c r="F362" s="2">
        <v>28</v>
      </c>
      <c r="G362" s="2">
        <v>174</v>
      </c>
      <c r="H362" s="2">
        <v>911</v>
      </c>
      <c r="I362" s="2">
        <v>162</v>
      </c>
      <c r="J362" s="2">
        <v>0</v>
      </c>
      <c r="K362" s="1">
        <v>45292</v>
      </c>
      <c r="L362" s="2">
        <f>SUM(Tabla1[[#This Row],[Serv. Culturales Derecho Hab Publ]:[Soci Comedores Pensionados Jubl]])</f>
        <v>3380</v>
      </c>
    </row>
    <row r="363" spans="1:12" x14ac:dyDescent="0.3">
      <c r="A363" s="2">
        <v>2022</v>
      </c>
      <c r="B363" t="s">
        <v>12</v>
      </c>
      <c r="C363" s="2">
        <v>580</v>
      </c>
      <c r="D363" s="2">
        <v>1333</v>
      </c>
      <c r="E363" s="2">
        <v>0</v>
      </c>
      <c r="F363" s="2">
        <v>48</v>
      </c>
      <c r="G363" s="2">
        <v>734</v>
      </c>
      <c r="H363" s="2">
        <v>657</v>
      </c>
      <c r="I363" s="2">
        <v>1</v>
      </c>
      <c r="J363" s="2">
        <v>0</v>
      </c>
      <c r="K363" s="1">
        <v>44562</v>
      </c>
      <c r="L363" s="2">
        <f>SUM(Tabla1[[#This Row],[Serv. Culturales Derecho Hab Publ]:[Soci Comedores Pensionados Jubl]])</f>
        <v>3353</v>
      </c>
    </row>
    <row r="364" spans="1:12" x14ac:dyDescent="0.3">
      <c r="A364" s="2">
        <v>2024</v>
      </c>
      <c r="B364" t="s">
        <v>5</v>
      </c>
      <c r="C364" s="2">
        <v>170</v>
      </c>
      <c r="D364" s="2">
        <v>726</v>
      </c>
      <c r="E364" s="2">
        <v>0</v>
      </c>
      <c r="F364" s="2">
        <v>0</v>
      </c>
      <c r="G364" s="2">
        <v>1450</v>
      </c>
      <c r="H364" s="2">
        <v>370</v>
      </c>
      <c r="I364" s="2">
        <v>595</v>
      </c>
      <c r="J364" s="2">
        <v>0</v>
      </c>
      <c r="K364" s="1">
        <v>45292</v>
      </c>
      <c r="L364" s="2">
        <f>SUM(Tabla1[[#This Row],[Serv. Culturales Derecho Hab Publ]:[Soci Comedores Pensionados Jubl]])</f>
        <v>3311</v>
      </c>
    </row>
    <row r="365" spans="1:12" x14ac:dyDescent="0.3">
      <c r="A365" s="2">
        <v>2024</v>
      </c>
      <c r="B365" t="s">
        <v>23</v>
      </c>
      <c r="C365" s="2">
        <v>224</v>
      </c>
      <c r="D365" s="2">
        <v>1071</v>
      </c>
      <c r="E365" s="2">
        <v>0</v>
      </c>
      <c r="F365" s="2">
        <v>0</v>
      </c>
      <c r="G365" s="2">
        <v>1865</v>
      </c>
      <c r="H365" s="2">
        <v>0</v>
      </c>
      <c r="I365" s="2">
        <v>0</v>
      </c>
      <c r="J365" s="2">
        <v>0</v>
      </c>
      <c r="K365" s="1">
        <v>45292</v>
      </c>
      <c r="L365" s="2">
        <f>SUM(Tabla1[[#This Row],[Serv. Culturales Derecho Hab Publ]:[Soci Comedores Pensionados Jubl]])</f>
        <v>3160</v>
      </c>
    </row>
    <row r="366" spans="1:12" x14ac:dyDescent="0.3">
      <c r="A366" s="2">
        <v>2021</v>
      </c>
      <c r="B366" t="s">
        <v>12</v>
      </c>
      <c r="C366" s="2">
        <v>603</v>
      </c>
      <c r="D366" s="2">
        <v>668</v>
      </c>
      <c r="E366" s="2">
        <v>0</v>
      </c>
      <c r="F366" s="2">
        <v>108</v>
      </c>
      <c r="G366" s="2">
        <v>1192</v>
      </c>
      <c r="H366" s="2">
        <v>563</v>
      </c>
      <c r="I366" s="2">
        <v>1</v>
      </c>
      <c r="J366" s="2">
        <v>0</v>
      </c>
      <c r="K366" s="1">
        <v>44197</v>
      </c>
      <c r="L366" s="2">
        <f>SUM(Tabla1[[#This Row],[Serv. Culturales Derecho Hab Publ]:[Soci Comedores Pensionados Jubl]])</f>
        <v>3135</v>
      </c>
    </row>
    <row r="367" spans="1:12" x14ac:dyDescent="0.3">
      <c r="A367" s="2">
        <v>2023</v>
      </c>
      <c r="B367" t="s">
        <v>22</v>
      </c>
      <c r="C367" s="2">
        <v>203</v>
      </c>
      <c r="D367" s="2">
        <v>556</v>
      </c>
      <c r="E367" s="2">
        <v>0</v>
      </c>
      <c r="F367" s="2">
        <v>82</v>
      </c>
      <c r="G367" s="2">
        <v>841</v>
      </c>
      <c r="H367" s="2">
        <v>1052</v>
      </c>
      <c r="I367" s="2">
        <v>354</v>
      </c>
      <c r="J367" s="2">
        <v>0</v>
      </c>
      <c r="K367" s="1">
        <v>44927</v>
      </c>
      <c r="L367" s="2">
        <f>SUM(Tabla1[[#This Row],[Serv. Culturales Derecho Hab Publ]:[Soci Comedores Pensionados Jubl]])</f>
        <v>3088</v>
      </c>
    </row>
    <row r="368" spans="1:12" x14ac:dyDescent="0.3">
      <c r="A368" s="2">
        <v>2020</v>
      </c>
      <c r="B368" t="s">
        <v>17</v>
      </c>
      <c r="C368" s="2">
        <v>103</v>
      </c>
      <c r="D368" s="2">
        <v>2271</v>
      </c>
      <c r="E368" s="2">
        <v>0</v>
      </c>
      <c r="F368" s="2">
        <v>0</v>
      </c>
      <c r="G368" s="2">
        <v>374</v>
      </c>
      <c r="H368" s="2">
        <v>57</v>
      </c>
      <c r="I368" s="2">
        <v>189</v>
      </c>
      <c r="J368" s="2">
        <v>0</v>
      </c>
      <c r="K368" s="1">
        <v>43831</v>
      </c>
      <c r="L368" s="2">
        <f>SUM(Tabla1[[#This Row],[Serv. Culturales Derecho Hab Publ]:[Soci Comedores Pensionados Jubl]])</f>
        <v>2994</v>
      </c>
    </row>
    <row r="369" spans="1:12" x14ac:dyDescent="0.3">
      <c r="A369" s="2">
        <v>2023</v>
      </c>
      <c r="B369" t="s">
        <v>4</v>
      </c>
      <c r="C369" s="2">
        <v>333</v>
      </c>
      <c r="D369" s="2">
        <v>422</v>
      </c>
      <c r="E369" s="2">
        <v>0</v>
      </c>
      <c r="F369" s="2">
        <v>0</v>
      </c>
      <c r="G369" s="2">
        <v>1133</v>
      </c>
      <c r="H369" s="2">
        <v>800</v>
      </c>
      <c r="I369" s="2">
        <v>269</v>
      </c>
      <c r="J369" s="2">
        <v>0</v>
      </c>
      <c r="K369" s="1">
        <v>44927</v>
      </c>
      <c r="L369" s="2">
        <f>SUM(Tabla1[[#This Row],[Serv. Culturales Derecho Hab Publ]:[Soci Comedores Pensionados Jubl]])</f>
        <v>2957</v>
      </c>
    </row>
    <row r="370" spans="1:12" x14ac:dyDescent="0.3">
      <c r="A370" s="2">
        <v>2021</v>
      </c>
      <c r="B370" t="s">
        <v>51</v>
      </c>
      <c r="C370" s="2">
        <v>211</v>
      </c>
      <c r="D370" s="2">
        <v>187</v>
      </c>
      <c r="E370" s="2">
        <v>34</v>
      </c>
      <c r="F370" s="2">
        <v>160</v>
      </c>
      <c r="G370" s="2">
        <v>1401</v>
      </c>
      <c r="H370" s="2">
        <v>938</v>
      </c>
      <c r="I370" s="2">
        <v>25</v>
      </c>
      <c r="J370" s="2">
        <v>0</v>
      </c>
      <c r="K370" s="1">
        <v>44197</v>
      </c>
      <c r="L370" s="2">
        <f>SUM(Tabla1[[#This Row],[Serv. Culturales Derecho Hab Publ]:[Soci Comedores Pensionados Jubl]])</f>
        <v>2956</v>
      </c>
    </row>
    <row r="371" spans="1:12" x14ac:dyDescent="0.3">
      <c r="A371" s="2">
        <v>2024</v>
      </c>
      <c r="B371" t="s">
        <v>4</v>
      </c>
      <c r="C371" s="2">
        <v>311</v>
      </c>
      <c r="D371" s="2">
        <v>420</v>
      </c>
      <c r="E371" s="2">
        <v>0</v>
      </c>
      <c r="F371" s="2">
        <v>0</v>
      </c>
      <c r="G371" s="2">
        <v>1177</v>
      </c>
      <c r="H371" s="2">
        <v>822</v>
      </c>
      <c r="I371" s="2">
        <v>210</v>
      </c>
      <c r="J371" s="2">
        <v>0</v>
      </c>
      <c r="K371" s="1">
        <v>45292</v>
      </c>
      <c r="L371" s="2">
        <f>SUM(Tabla1[[#This Row],[Serv. Culturales Derecho Hab Publ]:[Soci Comedores Pensionados Jubl]])</f>
        <v>2940</v>
      </c>
    </row>
    <row r="372" spans="1:12" x14ac:dyDescent="0.3">
      <c r="A372" s="2">
        <v>2022</v>
      </c>
      <c r="B372" t="s">
        <v>8</v>
      </c>
      <c r="C372" s="2">
        <v>159</v>
      </c>
      <c r="D372" s="2">
        <v>719</v>
      </c>
      <c r="E372" s="2">
        <v>603</v>
      </c>
      <c r="F372" s="2">
        <v>13</v>
      </c>
      <c r="G372" s="2">
        <v>1089</v>
      </c>
      <c r="H372" s="2">
        <v>267</v>
      </c>
      <c r="I372" s="2">
        <v>38</v>
      </c>
      <c r="J372" s="2">
        <v>0</v>
      </c>
      <c r="K372" s="1">
        <v>44562</v>
      </c>
      <c r="L372" s="2">
        <f>SUM(Tabla1[[#This Row],[Serv. Culturales Derecho Hab Publ]:[Soci Comedores Pensionados Jubl]])</f>
        <v>2888</v>
      </c>
    </row>
    <row r="373" spans="1:12" x14ac:dyDescent="0.3">
      <c r="A373" s="2">
        <v>2022</v>
      </c>
      <c r="B373" t="s">
        <v>0</v>
      </c>
      <c r="C373" s="2">
        <v>1374</v>
      </c>
      <c r="D373" s="2">
        <v>959</v>
      </c>
      <c r="E373" s="2">
        <v>0</v>
      </c>
      <c r="F373" s="2">
        <v>23</v>
      </c>
      <c r="G373" s="2">
        <v>47</v>
      </c>
      <c r="H373" s="2">
        <v>407</v>
      </c>
      <c r="I373" s="2">
        <v>66</v>
      </c>
      <c r="J373" s="2">
        <v>0</v>
      </c>
      <c r="K373" s="1">
        <v>44562</v>
      </c>
      <c r="L373" s="2">
        <f>SUM(Tabla1[[#This Row],[Serv. Culturales Derecho Hab Publ]:[Soci Comedores Pensionados Jubl]])</f>
        <v>2876</v>
      </c>
    </row>
    <row r="374" spans="1:12" x14ac:dyDescent="0.3">
      <c r="A374" s="2">
        <v>2021</v>
      </c>
      <c r="B374" t="s">
        <v>53</v>
      </c>
      <c r="C374" s="2">
        <v>170</v>
      </c>
      <c r="D374" s="2">
        <v>127</v>
      </c>
      <c r="E374" s="2">
        <v>72</v>
      </c>
      <c r="F374" s="2">
        <v>2489</v>
      </c>
      <c r="G374" s="2">
        <v>0</v>
      </c>
      <c r="H374" s="2">
        <v>0</v>
      </c>
      <c r="I374" s="2">
        <v>0</v>
      </c>
      <c r="J374" s="2">
        <v>0</v>
      </c>
      <c r="K374" s="1">
        <v>44197</v>
      </c>
      <c r="L374" s="2">
        <f>SUM(Tabla1[[#This Row],[Serv. Culturales Derecho Hab Publ]:[Soci Comedores Pensionados Jubl]])</f>
        <v>2858</v>
      </c>
    </row>
    <row r="375" spans="1:12" x14ac:dyDescent="0.3">
      <c r="A375" s="2">
        <v>2021</v>
      </c>
      <c r="B375" t="s">
        <v>4</v>
      </c>
      <c r="C375" s="2">
        <v>116</v>
      </c>
      <c r="D375" s="2">
        <v>176</v>
      </c>
      <c r="E375" s="2">
        <v>0</v>
      </c>
      <c r="F375" s="2">
        <v>105</v>
      </c>
      <c r="G375" s="2">
        <v>1778</v>
      </c>
      <c r="H375" s="2">
        <v>626</v>
      </c>
      <c r="I375" s="2">
        <v>4</v>
      </c>
      <c r="J375" s="2">
        <v>0</v>
      </c>
      <c r="K375" s="1">
        <v>44197</v>
      </c>
      <c r="L375" s="2">
        <f>SUM(Tabla1[[#This Row],[Serv. Culturales Derecho Hab Publ]:[Soci Comedores Pensionados Jubl]])</f>
        <v>2805</v>
      </c>
    </row>
    <row r="376" spans="1:12" x14ac:dyDescent="0.3">
      <c r="A376" s="2">
        <v>2023</v>
      </c>
      <c r="B376" t="s">
        <v>23</v>
      </c>
      <c r="C376" s="2">
        <v>422</v>
      </c>
      <c r="D376" s="2">
        <v>767</v>
      </c>
      <c r="E376" s="2">
        <v>0</v>
      </c>
      <c r="F376" s="2">
        <v>0</v>
      </c>
      <c r="G376" s="2">
        <v>1403</v>
      </c>
      <c r="H376" s="2">
        <v>69</v>
      </c>
      <c r="I376" s="2">
        <v>0</v>
      </c>
      <c r="J376" s="2">
        <v>0</v>
      </c>
      <c r="K376" s="1">
        <v>44927</v>
      </c>
      <c r="L376" s="2">
        <f>SUM(Tabla1[[#This Row],[Serv. Culturales Derecho Hab Publ]:[Soci Comedores Pensionados Jubl]])</f>
        <v>2661</v>
      </c>
    </row>
    <row r="377" spans="1:12" x14ac:dyDescent="0.3">
      <c r="A377" s="2">
        <v>2022</v>
      </c>
      <c r="B377" t="s">
        <v>2</v>
      </c>
      <c r="C377" s="2">
        <v>42</v>
      </c>
      <c r="D377" s="2">
        <v>763</v>
      </c>
      <c r="E377" s="2">
        <v>9</v>
      </c>
      <c r="F377" s="2">
        <v>0</v>
      </c>
      <c r="G377" s="2">
        <v>713</v>
      </c>
      <c r="H377" s="2">
        <v>814</v>
      </c>
      <c r="I377" s="2">
        <v>255</v>
      </c>
      <c r="J377" s="2">
        <v>0</v>
      </c>
      <c r="K377" s="1">
        <v>44562</v>
      </c>
      <c r="L377" s="2">
        <f>SUM(Tabla1[[#This Row],[Serv. Culturales Derecho Hab Publ]:[Soci Comedores Pensionados Jubl]])</f>
        <v>2596</v>
      </c>
    </row>
    <row r="378" spans="1:12" x14ac:dyDescent="0.3">
      <c r="A378" s="2">
        <v>2021</v>
      </c>
      <c r="B378" t="s">
        <v>2</v>
      </c>
      <c r="C378" s="2">
        <v>13</v>
      </c>
      <c r="D378" s="2">
        <v>143</v>
      </c>
      <c r="E378" s="2">
        <v>5</v>
      </c>
      <c r="F378" s="2">
        <v>0</v>
      </c>
      <c r="G378" s="2">
        <v>902</v>
      </c>
      <c r="H378" s="2">
        <v>1168</v>
      </c>
      <c r="I378" s="2">
        <v>263</v>
      </c>
      <c r="J378" s="2">
        <v>0</v>
      </c>
      <c r="K378" s="1">
        <v>44197</v>
      </c>
      <c r="L378" s="2">
        <f>SUM(Tabla1[[#This Row],[Serv. Culturales Derecho Hab Publ]:[Soci Comedores Pensionados Jubl]])</f>
        <v>2494</v>
      </c>
    </row>
    <row r="379" spans="1:12" x14ac:dyDescent="0.3">
      <c r="A379" s="2">
        <v>2021</v>
      </c>
      <c r="B379" t="s">
        <v>10</v>
      </c>
      <c r="C379" s="2">
        <v>208</v>
      </c>
      <c r="D379" s="2">
        <v>884</v>
      </c>
      <c r="E379" s="2">
        <v>3</v>
      </c>
      <c r="F379" s="2">
        <v>285</v>
      </c>
      <c r="G379" s="2">
        <v>955</v>
      </c>
      <c r="H379" s="2">
        <v>139</v>
      </c>
      <c r="I379" s="2">
        <v>1</v>
      </c>
      <c r="J379" s="2">
        <v>0</v>
      </c>
      <c r="K379" s="1">
        <v>44197</v>
      </c>
      <c r="L379" s="2">
        <f>SUM(Tabla1[[#This Row],[Serv. Culturales Derecho Hab Publ]:[Soci Comedores Pensionados Jubl]])</f>
        <v>2475</v>
      </c>
    </row>
    <row r="380" spans="1:12" x14ac:dyDescent="0.3">
      <c r="A380" s="2">
        <v>2024</v>
      </c>
      <c r="B380" t="s">
        <v>15</v>
      </c>
      <c r="C380" s="2">
        <v>260</v>
      </c>
      <c r="D380" s="2">
        <v>674</v>
      </c>
      <c r="E380" s="2">
        <v>0</v>
      </c>
      <c r="F380" s="2">
        <v>0</v>
      </c>
      <c r="G380" s="2">
        <v>1302</v>
      </c>
      <c r="H380" s="2">
        <v>137</v>
      </c>
      <c r="I380" s="2">
        <v>1</v>
      </c>
      <c r="J380" s="2">
        <v>0</v>
      </c>
      <c r="K380" s="1">
        <v>45292</v>
      </c>
      <c r="L380" s="2">
        <f>SUM(Tabla1[[#This Row],[Serv. Culturales Derecho Hab Publ]:[Soci Comedores Pensionados Jubl]])</f>
        <v>2374</v>
      </c>
    </row>
    <row r="381" spans="1:12" x14ac:dyDescent="0.3">
      <c r="A381" s="2">
        <v>2022</v>
      </c>
      <c r="B381" t="s">
        <v>48</v>
      </c>
      <c r="C381" s="2">
        <v>242</v>
      </c>
      <c r="D381" s="2">
        <v>567</v>
      </c>
      <c r="E381" s="2">
        <v>0</v>
      </c>
      <c r="F381" s="2">
        <v>688</v>
      </c>
      <c r="G381" s="2">
        <v>366</v>
      </c>
      <c r="H381" s="2">
        <v>421</v>
      </c>
      <c r="I381" s="2">
        <v>0</v>
      </c>
      <c r="J381" s="2">
        <v>0</v>
      </c>
      <c r="K381" s="1">
        <v>44562</v>
      </c>
      <c r="L381" s="2">
        <f>SUM(Tabla1[[#This Row],[Serv. Culturales Derecho Hab Publ]:[Soci Comedores Pensionados Jubl]])</f>
        <v>2284</v>
      </c>
    </row>
    <row r="382" spans="1:12" x14ac:dyDescent="0.3">
      <c r="A382" s="2">
        <v>2024</v>
      </c>
      <c r="B382" t="s">
        <v>14</v>
      </c>
      <c r="C382" s="2">
        <v>634</v>
      </c>
      <c r="D382" s="2">
        <v>371</v>
      </c>
      <c r="E382" s="2">
        <v>0</v>
      </c>
      <c r="F382" s="2">
        <v>3</v>
      </c>
      <c r="G382" s="2">
        <v>620</v>
      </c>
      <c r="H382" s="2">
        <v>601</v>
      </c>
      <c r="I382" s="2">
        <v>52</v>
      </c>
      <c r="J382" s="2">
        <v>0</v>
      </c>
      <c r="K382" s="1">
        <v>45292</v>
      </c>
      <c r="L382" s="2">
        <f>SUM(Tabla1[[#This Row],[Serv. Culturales Derecho Hab Publ]:[Soci Comedores Pensionados Jubl]])</f>
        <v>2281</v>
      </c>
    </row>
    <row r="383" spans="1:12" x14ac:dyDescent="0.3">
      <c r="A383" s="2">
        <v>2024</v>
      </c>
      <c r="B383" t="s">
        <v>25</v>
      </c>
      <c r="C383" s="2">
        <v>0</v>
      </c>
      <c r="D383" s="2">
        <v>0</v>
      </c>
      <c r="E383" s="2">
        <v>0</v>
      </c>
      <c r="F383" s="2">
        <v>0</v>
      </c>
      <c r="G383" s="2">
        <v>2279</v>
      </c>
      <c r="H383" s="2">
        <v>0</v>
      </c>
      <c r="I383" s="2">
        <v>0</v>
      </c>
      <c r="J383" s="2">
        <v>0</v>
      </c>
      <c r="K383" s="1">
        <v>45292</v>
      </c>
      <c r="L383" s="2">
        <f>SUM(Tabla1[[#This Row],[Serv. Culturales Derecho Hab Publ]:[Soci Comedores Pensionados Jubl]])</f>
        <v>2279</v>
      </c>
    </row>
    <row r="384" spans="1:12" x14ac:dyDescent="0.3">
      <c r="A384" s="2">
        <v>2023</v>
      </c>
      <c r="B384" t="s">
        <v>8</v>
      </c>
      <c r="C384" s="2">
        <v>136</v>
      </c>
      <c r="D384" s="2">
        <v>540</v>
      </c>
      <c r="E384" s="2">
        <v>437</v>
      </c>
      <c r="F384" s="2">
        <v>2</v>
      </c>
      <c r="G384" s="2">
        <v>596</v>
      </c>
      <c r="H384" s="2">
        <v>457</v>
      </c>
      <c r="I384" s="2">
        <v>108</v>
      </c>
      <c r="J384" s="2">
        <v>0</v>
      </c>
      <c r="K384" s="1">
        <v>44927</v>
      </c>
      <c r="L384" s="2">
        <f>SUM(Tabla1[[#This Row],[Serv. Culturales Derecho Hab Publ]:[Soci Comedores Pensionados Jubl]])</f>
        <v>2276</v>
      </c>
    </row>
    <row r="385" spans="1:12" x14ac:dyDescent="0.3">
      <c r="A385" s="2">
        <v>2021</v>
      </c>
      <c r="B385" t="s">
        <v>17</v>
      </c>
      <c r="C385" s="2">
        <v>40</v>
      </c>
      <c r="D385" s="2">
        <v>354</v>
      </c>
      <c r="E385" s="2">
        <v>8</v>
      </c>
      <c r="F385" s="2">
        <v>0</v>
      </c>
      <c r="G385" s="2">
        <v>941</v>
      </c>
      <c r="H385" s="2">
        <v>499</v>
      </c>
      <c r="I385" s="2">
        <v>428</v>
      </c>
      <c r="J385" s="2">
        <v>0</v>
      </c>
      <c r="K385" s="1">
        <v>44197</v>
      </c>
      <c r="L385" s="2">
        <f>SUM(Tabla1[[#This Row],[Serv. Culturales Derecho Hab Publ]:[Soci Comedores Pensionados Jubl]])</f>
        <v>2270</v>
      </c>
    </row>
    <row r="386" spans="1:12" x14ac:dyDescent="0.3">
      <c r="A386" s="2">
        <v>2025</v>
      </c>
      <c r="B386" t="s">
        <v>47</v>
      </c>
      <c r="C386" s="2">
        <v>171</v>
      </c>
      <c r="D386" s="2">
        <v>837</v>
      </c>
      <c r="E386" s="2">
        <v>37</v>
      </c>
      <c r="F386" s="2">
        <v>49</v>
      </c>
      <c r="G386" s="2">
        <v>347</v>
      </c>
      <c r="H386" s="2">
        <v>797</v>
      </c>
      <c r="I386" s="2">
        <v>12</v>
      </c>
      <c r="J386" s="2">
        <v>0</v>
      </c>
      <c r="K386" s="1">
        <v>45658</v>
      </c>
      <c r="L386" s="2">
        <f>SUM(Tabla1[[#This Row],[Serv. Culturales Derecho Hab Publ]:[Soci Comedores Pensionados Jubl]])</f>
        <v>2250</v>
      </c>
    </row>
    <row r="387" spans="1:12" x14ac:dyDescent="0.3">
      <c r="A387" s="2">
        <v>2024</v>
      </c>
      <c r="B387" t="s">
        <v>7</v>
      </c>
      <c r="C387" s="2">
        <v>406</v>
      </c>
      <c r="D387" s="2">
        <v>726</v>
      </c>
      <c r="E387" s="2">
        <v>0</v>
      </c>
      <c r="F387" s="2">
        <v>8</v>
      </c>
      <c r="G387" s="2">
        <v>486</v>
      </c>
      <c r="H387" s="2">
        <v>613</v>
      </c>
      <c r="I387" s="2">
        <v>3</v>
      </c>
      <c r="J387" s="2">
        <v>0</v>
      </c>
      <c r="K387" s="1">
        <v>45292</v>
      </c>
      <c r="L387" s="2">
        <f>SUM(Tabla1[[#This Row],[Serv. Culturales Derecho Hab Publ]:[Soci Comedores Pensionados Jubl]])</f>
        <v>2242</v>
      </c>
    </row>
    <row r="388" spans="1:12" x14ac:dyDescent="0.3">
      <c r="A388" s="2">
        <v>2021</v>
      </c>
      <c r="B388" t="s">
        <v>48</v>
      </c>
      <c r="C388" s="2">
        <v>50</v>
      </c>
      <c r="D388" s="2">
        <v>93</v>
      </c>
      <c r="E388" s="2">
        <v>287</v>
      </c>
      <c r="F388" s="2">
        <v>1409</v>
      </c>
      <c r="G388" s="2">
        <v>171</v>
      </c>
      <c r="H388" s="2">
        <v>174</v>
      </c>
      <c r="I388" s="2">
        <v>22</v>
      </c>
      <c r="J388" s="2">
        <v>0</v>
      </c>
      <c r="K388" s="1">
        <v>44197</v>
      </c>
      <c r="L388" s="2">
        <f>SUM(Tabla1[[#This Row],[Serv. Culturales Derecho Hab Publ]:[Soci Comedores Pensionados Jubl]])</f>
        <v>2206</v>
      </c>
    </row>
    <row r="389" spans="1:12" x14ac:dyDescent="0.3">
      <c r="A389" s="2">
        <v>2021</v>
      </c>
      <c r="B389" t="s">
        <v>21</v>
      </c>
      <c r="C389" s="2">
        <v>639</v>
      </c>
      <c r="D389" s="2">
        <v>545</v>
      </c>
      <c r="E389" s="2">
        <v>0</v>
      </c>
      <c r="F389" s="2">
        <v>14</v>
      </c>
      <c r="G389" s="2">
        <v>537</v>
      </c>
      <c r="H389" s="2">
        <v>235</v>
      </c>
      <c r="I389" s="2">
        <v>220</v>
      </c>
      <c r="J389" s="2">
        <v>0</v>
      </c>
      <c r="K389" s="1">
        <v>44197</v>
      </c>
      <c r="L389" s="2">
        <f>SUM(Tabla1[[#This Row],[Serv. Culturales Derecho Hab Publ]:[Soci Comedores Pensionados Jubl]])</f>
        <v>2190</v>
      </c>
    </row>
    <row r="390" spans="1:12" x14ac:dyDescent="0.3">
      <c r="A390" s="2">
        <v>2023</v>
      </c>
      <c r="B390" t="s">
        <v>15</v>
      </c>
      <c r="C390" s="2">
        <v>221</v>
      </c>
      <c r="D390" s="2">
        <v>652</v>
      </c>
      <c r="E390" s="2">
        <v>0</v>
      </c>
      <c r="F390" s="2">
        <v>0</v>
      </c>
      <c r="G390" s="2">
        <v>976</v>
      </c>
      <c r="H390" s="2">
        <v>323</v>
      </c>
      <c r="I390" s="2">
        <v>1</v>
      </c>
      <c r="J390" s="2">
        <v>0</v>
      </c>
      <c r="K390" s="1">
        <v>44927</v>
      </c>
      <c r="L390" s="2">
        <f>SUM(Tabla1[[#This Row],[Serv. Culturales Derecho Hab Publ]:[Soci Comedores Pensionados Jubl]])</f>
        <v>2173</v>
      </c>
    </row>
    <row r="391" spans="1:12" x14ac:dyDescent="0.3">
      <c r="A391" s="2">
        <v>2023</v>
      </c>
      <c r="B391" t="s">
        <v>19</v>
      </c>
      <c r="C391" s="2">
        <v>17</v>
      </c>
      <c r="D391" s="2">
        <v>484</v>
      </c>
      <c r="E391" s="2">
        <v>2</v>
      </c>
      <c r="F391" s="2">
        <v>11</v>
      </c>
      <c r="G391" s="2">
        <v>1014</v>
      </c>
      <c r="H391" s="2">
        <v>483</v>
      </c>
      <c r="I391" s="2">
        <v>160</v>
      </c>
      <c r="J391" s="2">
        <v>0</v>
      </c>
      <c r="K391" s="1">
        <v>44927</v>
      </c>
      <c r="L391" s="2">
        <f>SUM(Tabla1[[#This Row],[Serv. Culturales Derecho Hab Publ]:[Soci Comedores Pensionados Jubl]])</f>
        <v>2171</v>
      </c>
    </row>
    <row r="392" spans="1:12" x14ac:dyDescent="0.3">
      <c r="A392" s="2">
        <v>2024</v>
      </c>
      <c r="B392" t="s">
        <v>19</v>
      </c>
      <c r="C392" s="2">
        <v>5</v>
      </c>
      <c r="D392" s="2">
        <v>563</v>
      </c>
      <c r="E392" s="2">
        <v>0</v>
      </c>
      <c r="F392" s="2">
        <v>0</v>
      </c>
      <c r="G392" s="2">
        <v>1091</v>
      </c>
      <c r="H392" s="2">
        <v>290</v>
      </c>
      <c r="I392" s="2">
        <v>216</v>
      </c>
      <c r="J392" s="2">
        <v>0</v>
      </c>
      <c r="K392" s="1">
        <v>45292</v>
      </c>
      <c r="L392" s="2">
        <f>SUM(Tabla1[[#This Row],[Serv. Culturales Derecho Hab Publ]:[Soci Comedores Pensionados Jubl]])</f>
        <v>2165</v>
      </c>
    </row>
    <row r="393" spans="1:12" x14ac:dyDescent="0.3">
      <c r="A393" s="2">
        <v>2022</v>
      </c>
      <c r="B393" t="s">
        <v>19</v>
      </c>
      <c r="C393" s="2">
        <v>145</v>
      </c>
      <c r="D393" s="2">
        <v>377</v>
      </c>
      <c r="E393" s="2">
        <v>4</v>
      </c>
      <c r="F393" s="2">
        <v>13</v>
      </c>
      <c r="G393" s="2">
        <v>1129</v>
      </c>
      <c r="H393" s="2">
        <v>313</v>
      </c>
      <c r="I393" s="2">
        <v>120</v>
      </c>
      <c r="J393" s="2">
        <v>0</v>
      </c>
      <c r="K393" s="1">
        <v>44562</v>
      </c>
      <c r="L393" s="2">
        <f>SUM(Tabla1[[#This Row],[Serv. Culturales Derecho Hab Publ]:[Soci Comedores Pensionados Jubl]])</f>
        <v>2101</v>
      </c>
    </row>
    <row r="394" spans="1:12" x14ac:dyDescent="0.3">
      <c r="A394" s="2">
        <v>2023</v>
      </c>
      <c r="B394" t="s">
        <v>7</v>
      </c>
      <c r="C394" s="2">
        <v>460</v>
      </c>
      <c r="D394" s="2">
        <v>614</v>
      </c>
      <c r="E394" s="2">
        <v>0</v>
      </c>
      <c r="F394" s="2">
        <v>9</v>
      </c>
      <c r="G394" s="2">
        <v>375</v>
      </c>
      <c r="H394" s="2">
        <v>569</v>
      </c>
      <c r="I394" s="2">
        <v>7</v>
      </c>
      <c r="J394" s="2">
        <v>0</v>
      </c>
      <c r="K394" s="1">
        <v>44927</v>
      </c>
      <c r="L394" s="2">
        <f>SUM(Tabla1[[#This Row],[Serv. Culturales Derecho Hab Publ]:[Soci Comedores Pensionados Jubl]])</f>
        <v>2034</v>
      </c>
    </row>
    <row r="395" spans="1:12" x14ac:dyDescent="0.3">
      <c r="A395" s="2">
        <v>2025</v>
      </c>
      <c r="B395" t="s">
        <v>46</v>
      </c>
      <c r="C395" s="2">
        <v>268</v>
      </c>
      <c r="D395" s="2">
        <v>382</v>
      </c>
      <c r="E395" s="2">
        <v>172</v>
      </c>
      <c r="F395" s="2">
        <v>806</v>
      </c>
      <c r="G395" s="2">
        <v>217</v>
      </c>
      <c r="H395" s="2">
        <v>148</v>
      </c>
      <c r="I395" s="2">
        <v>29</v>
      </c>
      <c r="J395" s="2">
        <v>0</v>
      </c>
      <c r="K395" s="1">
        <v>45658</v>
      </c>
      <c r="L395" s="2">
        <f>SUM(Tabla1[[#This Row],[Serv. Culturales Derecho Hab Publ]:[Soci Comedores Pensionados Jubl]])</f>
        <v>2022</v>
      </c>
    </row>
    <row r="396" spans="1:12" x14ac:dyDescent="0.3">
      <c r="A396" s="2">
        <v>2024</v>
      </c>
      <c r="B396" t="s">
        <v>48</v>
      </c>
      <c r="C396" s="2">
        <v>202</v>
      </c>
      <c r="D396" s="2">
        <v>379</v>
      </c>
      <c r="E396" s="2">
        <v>0</v>
      </c>
      <c r="F396" s="2">
        <v>529</v>
      </c>
      <c r="G396" s="2">
        <v>720</v>
      </c>
      <c r="H396" s="2">
        <v>168</v>
      </c>
      <c r="I396" s="2">
        <v>2</v>
      </c>
      <c r="J396" s="2">
        <v>0</v>
      </c>
      <c r="K396" s="1">
        <v>45292</v>
      </c>
      <c r="L396" s="2">
        <f>SUM(Tabla1[[#This Row],[Serv. Culturales Derecho Hab Publ]:[Soci Comedores Pensionados Jubl]])</f>
        <v>2000</v>
      </c>
    </row>
    <row r="397" spans="1:12" x14ac:dyDescent="0.3">
      <c r="A397" s="2">
        <v>2022</v>
      </c>
      <c r="B397" t="s">
        <v>21</v>
      </c>
      <c r="C397" s="2">
        <v>409</v>
      </c>
      <c r="D397" s="2">
        <v>621</v>
      </c>
      <c r="E397" s="2">
        <v>0</v>
      </c>
      <c r="F397" s="2">
        <v>6</v>
      </c>
      <c r="G397" s="2">
        <v>527</v>
      </c>
      <c r="H397" s="2">
        <v>307</v>
      </c>
      <c r="I397" s="2">
        <v>117</v>
      </c>
      <c r="J397" s="2">
        <v>0</v>
      </c>
      <c r="K397" s="1">
        <v>44562</v>
      </c>
      <c r="L397" s="2">
        <f>SUM(Tabla1[[#This Row],[Serv. Culturales Derecho Hab Publ]:[Soci Comedores Pensionados Jubl]])</f>
        <v>1987</v>
      </c>
    </row>
    <row r="398" spans="1:12" x14ac:dyDescent="0.3">
      <c r="A398" s="2">
        <v>2024</v>
      </c>
      <c r="B398" t="s">
        <v>3</v>
      </c>
      <c r="C398" s="2">
        <v>502</v>
      </c>
      <c r="D398" s="2">
        <v>309</v>
      </c>
      <c r="E398" s="2">
        <v>0</v>
      </c>
      <c r="F398" s="2">
        <v>0</v>
      </c>
      <c r="G398" s="2">
        <v>607</v>
      </c>
      <c r="H398" s="2">
        <v>318</v>
      </c>
      <c r="I398" s="2">
        <v>191</v>
      </c>
      <c r="J398" s="2">
        <v>0</v>
      </c>
      <c r="K398" s="1">
        <v>45292</v>
      </c>
      <c r="L398" s="2">
        <f>SUM(Tabla1[[#This Row],[Serv. Culturales Derecho Hab Publ]:[Soci Comedores Pensionados Jubl]])</f>
        <v>1927</v>
      </c>
    </row>
    <row r="399" spans="1:12" x14ac:dyDescent="0.3">
      <c r="A399" s="2">
        <v>2021</v>
      </c>
      <c r="B399" t="s">
        <v>46</v>
      </c>
      <c r="C399" s="2">
        <v>396</v>
      </c>
      <c r="D399" s="2">
        <v>298</v>
      </c>
      <c r="E399" s="2">
        <v>47</v>
      </c>
      <c r="F399" s="2">
        <v>42</v>
      </c>
      <c r="G399" s="2">
        <v>517</v>
      </c>
      <c r="H399" s="2">
        <v>400</v>
      </c>
      <c r="I399" s="2">
        <v>192</v>
      </c>
      <c r="J399" s="2">
        <v>0</v>
      </c>
      <c r="K399" s="1">
        <v>44197</v>
      </c>
      <c r="L399" s="2">
        <f>SUM(Tabla1[[#This Row],[Serv. Culturales Derecho Hab Publ]:[Soci Comedores Pensionados Jubl]])</f>
        <v>1892</v>
      </c>
    </row>
    <row r="400" spans="1:12" x14ac:dyDescent="0.3">
      <c r="A400" s="2">
        <v>2023</v>
      </c>
      <c r="B400" t="s">
        <v>14</v>
      </c>
      <c r="C400" s="2">
        <v>699</v>
      </c>
      <c r="D400" s="2">
        <v>346</v>
      </c>
      <c r="E400" s="2">
        <v>0</v>
      </c>
      <c r="F400" s="2">
        <v>0</v>
      </c>
      <c r="G400" s="2">
        <v>310</v>
      </c>
      <c r="H400" s="2">
        <v>462</v>
      </c>
      <c r="I400" s="2">
        <v>14</v>
      </c>
      <c r="J400" s="2">
        <v>0</v>
      </c>
      <c r="K400" s="1">
        <v>44927</v>
      </c>
      <c r="L400" s="2">
        <f>SUM(Tabla1[[#This Row],[Serv. Culturales Derecho Hab Publ]:[Soci Comedores Pensionados Jubl]])</f>
        <v>1831</v>
      </c>
    </row>
    <row r="401" spans="1:12" x14ac:dyDescent="0.3">
      <c r="A401" s="2">
        <v>2023</v>
      </c>
      <c r="B401" t="s">
        <v>48</v>
      </c>
      <c r="C401" s="2">
        <v>160</v>
      </c>
      <c r="D401" s="2">
        <v>343</v>
      </c>
      <c r="E401" s="2">
        <v>0</v>
      </c>
      <c r="F401" s="2">
        <v>533</v>
      </c>
      <c r="G401" s="2">
        <v>571</v>
      </c>
      <c r="H401" s="2">
        <v>189</v>
      </c>
      <c r="I401" s="2">
        <v>6</v>
      </c>
      <c r="J401" s="2">
        <v>0</v>
      </c>
      <c r="K401" s="1">
        <v>44927</v>
      </c>
      <c r="L401" s="2">
        <f>SUM(Tabla1[[#This Row],[Serv. Culturales Derecho Hab Publ]:[Soci Comedores Pensionados Jubl]])</f>
        <v>1802</v>
      </c>
    </row>
    <row r="402" spans="1:12" x14ac:dyDescent="0.3">
      <c r="A402" s="2">
        <v>2023</v>
      </c>
      <c r="B402" t="s">
        <v>3</v>
      </c>
      <c r="C402" s="2">
        <v>483</v>
      </c>
      <c r="D402" s="2">
        <v>334</v>
      </c>
      <c r="E402" s="2">
        <v>0</v>
      </c>
      <c r="F402" s="2">
        <v>0</v>
      </c>
      <c r="G402" s="2">
        <v>469</v>
      </c>
      <c r="H402" s="2">
        <v>319</v>
      </c>
      <c r="I402" s="2">
        <v>193</v>
      </c>
      <c r="J402" s="2">
        <v>0</v>
      </c>
      <c r="K402" s="1">
        <v>44927</v>
      </c>
      <c r="L402" s="2">
        <f>SUM(Tabla1[[#This Row],[Serv. Culturales Derecho Hab Publ]:[Soci Comedores Pensionados Jubl]])</f>
        <v>1798</v>
      </c>
    </row>
    <row r="403" spans="1:12" x14ac:dyDescent="0.3">
      <c r="A403" s="2">
        <v>2024</v>
      </c>
      <c r="B403" t="s">
        <v>8</v>
      </c>
      <c r="C403" s="2">
        <v>88</v>
      </c>
      <c r="D403" s="2">
        <v>440</v>
      </c>
      <c r="E403" s="2">
        <v>4</v>
      </c>
      <c r="F403" s="2">
        <v>1</v>
      </c>
      <c r="G403" s="2">
        <v>804</v>
      </c>
      <c r="H403" s="2">
        <v>448</v>
      </c>
      <c r="I403" s="2">
        <v>7</v>
      </c>
      <c r="J403" s="2">
        <v>0</v>
      </c>
      <c r="K403" s="1">
        <v>45292</v>
      </c>
      <c r="L403" s="2">
        <f>SUM(Tabla1[[#This Row],[Serv. Culturales Derecho Hab Publ]:[Soci Comedores Pensionados Jubl]])</f>
        <v>1792</v>
      </c>
    </row>
    <row r="404" spans="1:12" x14ac:dyDescent="0.3">
      <c r="A404" s="2">
        <v>2024</v>
      </c>
      <c r="B404" t="s">
        <v>11</v>
      </c>
      <c r="C404" s="2">
        <v>297</v>
      </c>
      <c r="D404" s="2">
        <v>599</v>
      </c>
      <c r="E404" s="2">
        <v>0</v>
      </c>
      <c r="F404" s="2">
        <v>76</v>
      </c>
      <c r="G404" s="2">
        <v>521</v>
      </c>
      <c r="H404" s="2">
        <v>235</v>
      </c>
      <c r="I404" s="2">
        <v>25</v>
      </c>
      <c r="J404" s="2">
        <v>0</v>
      </c>
      <c r="K404" s="1">
        <v>45292</v>
      </c>
      <c r="L404" s="2">
        <f>SUM(Tabla1[[#This Row],[Serv. Culturales Derecho Hab Publ]:[Soci Comedores Pensionados Jubl]])</f>
        <v>1753</v>
      </c>
    </row>
    <row r="405" spans="1:12" x14ac:dyDescent="0.3">
      <c r="A405" s="2">
        <v>2024</v>
      </c>
      <c r="B405" t="s">
        <v>50</v>
      </c>
      <c r="C405" s="2">
        <v>177</v>
      </c>
      <c r="D405" s="2">
        <v>665</v>
      </c>
      <c r="E405" s="2">
        <v>0</v>
      </c>
      <c r="F405" s="2">
        <v>276</v>
      </c>
      <c r="G405" s="2">
        <v>234</v>
      </c>
      <c r="H405" s="2">
        <v>393</v>
      </c>
      <c r="I405" s="2">
        <v>0</v>
      </c>
      <c r="J405" s="2">
        <v>0</v>
      </c>
      <c r="K405" s="1">
        <v>45292</v>
      </c>
      <c r="L405" s="2">
        <f>SUM(Tabla1[[#This Row],[Serv. Culturales Derecho Hab Publ]:[Soci Comedores Pensionados Jubl]])</f>
        <v>1745</v>
      </c>
    </row>
    <row r="406" spans="1:12" x14ac:dyDescent="0.3">
      <c r="A406" s="2">
        <v>2021</v>
      </c>
      <c r="B406" t="s">
        <v>23</v>
      </c>
      <c r="C406" s="2">
        <v>90</v>
      </c>
      <c r="D406" s="2">
        <v>508</v>
      </c>
      <c r="E406" s="2">
        <v>4</v>
      </c>
      <c r="F406" s="2">
        <v>37</v>
      </c>
      <c r="G406" s="2">
        <v>741</v>
      </c>
      <c r="H406" s="2">
        <v>83</v>
      </c>
      <c r="I406" s="2">
        <v>280</v>
      </c>
      <c r="J406" s="2">
        <v>0</v>
      </c>
      <c r="K406" s="1">
        <v>44197</v>
      </c>
      <c r="L406" s="2">
        <f>SUM(Tabla1[[#This Row],[Serv. Culturales Derecho Hab Publ]:[Soci Comedores Pensionados Jubl]])</f>
        <v>1743</v>
      </c>
    </row>
    <row r="407" spans="1:12" x14ac:dyDescent="0.3">
      <c r="A407" s="2">
        <v>2021</v>
      </c>
      <c r="B407" t="s">
        <v>22</v>
      </c>
      <c r="C407" s="2">
        <v>469</v>
      </c>
      <c r="D407" s="2">
        <v>445</v>
      </c>
      <c r="E407" s="2">
        <v>63</v>
      </c>
      <c r="F407" s="2">
        <v>143</v>
      </c>
      <c r="G407" s="2">
        <v>263</v>
      </c>
      <c r="H407" s="2">
        <v>314</v>
      </c>
      <c r="I407" s="2">
        <v>25</v>
      </c>
      <c r="J407" s="2">
        <v>0</v>
      </c>
      <c r="K407" s="1">
        <v>44197</v>
      </c>
      <c r="L407" s="2">
        <f>SUM(Tabla1[[#This Row],[Serv. Culturales Derecho Hab Publ]:[Soci Comedores Pensionados Jubl]])</f>
        <v>1722</v>
      </c>
    </row>
    <row r="408" spans="1:12" x14ac:dyDescent="0.3">
      <c r="A408" s="2">
        <v>2022</v>
      </c>
      <c r="B408" t="s">
        <v>15</v>
      </c>
      <c r="C408" s="2">
        <v>163</v>
      </c>
      <c r="D408" s="2">
        <v>514</v>
      </c>
      <c r="E408" s="2">
        <v>15</v>
      </c>
      <c r="F408" s="2">
        <v>0</v>
      </c>
      <c r="G408" s="2">
        <v>749</v>
      </c>
      <c r="H408" s="2">
        <v>275</v>
      </c>
      <c r="I408" s="2">
        <v>1</v>
      </c>
      <c r="J408" s="2">
        <v>0</v>
      </c>
      <c r="K408" s="1">
        <v>44562</v>
      </c>
      <c r="L408" s="2">
        <f>SUM(Tabla1[[#This Row],[Serv. Culturales Derecho Hab Publ]:[Soci Comedores Pensionados Jubl]])</f>
        <v>1717</v>
      </c>
    </row>
    <row r="409" spans="1:12" x14ac:dyDescent="0.3">
      <c r="A409" s="2">
        <v>2024</v>
      </c>
      <c r="B409" t="s">
        <v>24</v>
      </c>
      <c r="C409" s="2">
        <v>214</v>
      </c>
      <c r="D409" s="2">
        <v>1442</v>
      </c>
      <c r="E409" s="2">
        <v>0</v>
      </c>
      <c r="F409" s="2">
        <v>8</v>
      </c>
      <c r="G409" s="2">
        <v>15</v>
      </c>
      <c r="H409" s="2">
        <v>0</v>
      </c>
      <c r="I409" s="2">
        <v>37</v>
      </c>
      <c r="J409" s="2">
        <v>0</v>
      </c>
      <c r="K409" s="1">
        <v>45292</v>
      </c>
      <c r="L409" s="2">
        <f>SUM(Tabla1[[#This Row],[Serv. Culturales Derecho Hab Publ]:[Soci Comedores Pensionados Jubl]])</f>
        <v>1716</v>
      </c>
    </row>
    <row r="410" spans="1:12" x14ac:dyDescent="0.3">
      <c r="A410" s="2">
        <v>2022</v>
      </c>
      <c r="B410" t="s">
        <v>7</v>
      </c>
      <c r="C410" s="2">
        <v>515</v>
      </c>
      <c r="D410" s="2">
        <v>644</v>
      </c>
      <c r="E410" s="2">
        <v>9</v>
      </c>
      <c r="F410" s="2">
        <v>6</v>
      </c>
      <c r="G410" s="2">
        <v>232</v>
      </c>
      <c r="H410" s="2">
        <v>296</v>
      </c>
      <c r="I410" s="2">
        <v>0</v>
      </c>
      <c r="J410" s="2">
        <v>0</v>
      </c>
      <c r="K410" s="1">
        <v>44562</v>
      </c>
      <c r="L410" s="2">
        <f>SUM(Tabla1[[#This Row],[Serv. Culturales Derecho Hab Publ]:[Soci Comedores Pensionados Jubl]])</f>
        <v>1702</v>
      </c>
    </row>
    <row r="411" spans="1:12" x14ac:dyDescent="0.3">
      <c r="A411" s="2">
        <v>2023</v>
      </c>
      <c r="B411" t="s">
        <v>50</v>
      </c>
      <c r="C411" s="2">
        <v>85</v>
      </c>
      <c r="D411" s="2">
        <v>715</v>
      </c>
      <c r="E411" s="2">
        <v>0</v>
      </c>
      <c r="F411" s="2">
        <v>258</v>
      </c>
      <c r="G411" s="2">
        <v>199</v>
      </c>
      <c r="H411" s="2">
        <v>400</v>
      </c>
      <c r="I411" s="2">
        <v>1</v>
      </c>
      <c r="J411" s="2">
        <v>0</v>
      </c>
      <c r="K411" s="1">
        <v>44927</v>
      </c>
      <c r="L411" s="2">
        <f>SUM(Tabla1[[#This Row],[Serv. Culturales Derecho Hab Publ]:[Soci Comedores Pensionados Jubl]])</f>
        <v>1658</v>
      </c>
    </row>
    <row r="412" spans="1:12" x14ac:dyDescent="0.3">
      <c r="A412" s="2">
        <v>2021</v>
      </c>
      <c r="B412" t="s">
        <v>19</v>
      </c>
      <c r="C412" s="2">
        <v>113</v>
      </c>
      <c r="D412" s="2">
        <v>507</v>
      </c>
      <c r="E412" s="2">
        <v>198</v>
      </c>
      <c r="F412" s="2">
        <v>21</v>
      </c>
      <c r="G412" s="2">
        <v>610</v>
      </c>
      <c r="H412" s="2">
        <v>153</v>
      </c>
      <c r="I412" s="2">
        <v>41</v>
      </c>
      <c r="J412" s="2">
        <v>0</v>
      </c>
      <c r="K412" s="1">
        <v>44197</v>
      </c>
      <c r="L412" s="2">
        <f>SUM(Tabla1[[#This Row],[Serv. Culturales Derecho Hab Publ]:[Soci Comedores Pensionados Jubl]])</f>
        <v>1643</v>
      </c>
    </row>
    <row r="413" spans="1:12" x14ac:dyDescent="0.3">
      <c r="A413" s="2">
        <v>2025</v>
      </c>
      <c r="B413" t="s">
        <v>2</v>
      </c>
      <c r="C413" s="2">
        <v>80</v>
      </c>
      <c r="D413" s="2">
        <v>426</v>
      </c>
      <c r="E413" s="2">
        <v>0</v>
      </c>
      <c r="F413" s="2">
        <v>0</v>
      </c>
      <c r="G413" s="2">
        <v>447</v>
      </c>
      <c r="H413" s="2">
        <v>527</v>
      </c>
      <c r="I413" s="2">
        <v>139</v>
      </c>
      <c r="J413" s="2">
        <v>0</v>
      </c>
      <c r="K413" s="1">
        <v>45658</v>
      </c>
      <c r="L413" s="2">
        <f>SUM(Tabla1[[#This Row],[Serv. Culturales Derecho Hab Publ]:[Soci Comedores Pensionados Jubl]])</f>
        <v>1619</v>
      </c>
    </row>
    <row r="414" spans="1:12" x14ac:dyDescent="0.3">
      <c r="A414" s="2">
        <v>2022</v>
      </c>
      <c r="B414" t="s">
        <v>3</v>
      </c>
      <c r="C414" s="2">
        <v>350</v>
      </c>
      <c r="D414" s="2">
        <v>421</v>
      </c>
      <c r="E414" s="2">
        <v>0</v>
      </c>
      <c r="F414" s="2">
        <v>5</v>
      </c>
      <c r="G414" s="2">
        <v>337</v>
      </c>
      <c r="H414" s="2">
        <v>289</v>
      </c>
      <c r="I414" s="2">
        <v>176</v>
      </c>
      <c r="J414" s="2">
        <v>0</v>
      </c>
      <c r="K414" s="1">
        <v>44562</v>
      </c>
      <c r="L414" s="2">
        <f>SUM(Tabla1[[#This Row],[Serv. Culturales Derecho Hab Publ]:[Soci Comedores Pensionados Jubl]])</f>
        <v>1578</v>
      </c>
    </row>
    <row r="415" spans="1:12" x14ac:dyDescent="0.3">
      <c r="A415" s="2">
        <v>2023</v>
      </c>
      <c r="B415" t="s">
        <v>13</v>
      </c>
      <c r="C415" s="2">
        <v>482</v>
      </c>
      <c r="D415" s="2">
        <v>351</v>
      </c>
      <c r="E415" s="2">
        <v>5</v>
      </c>
      <c r="F415" s="2">
        <v>10</v>
      </c>
      <c r="G415" s="2">
        <v>197</v>
      </c>
      <c r="H415" s="2">
        <v>174</v>
      </c>
      <c r="I415" s="2">
        <v>326</v>
      </c>
      <c r="J415" s="2">
        <v>0</v>
      </c>
      <c r="K415" s="1">
        <v>44927</v>
      </c>
      <c r="L415" s="2">
        <f>SUM(Tabla1[[#This Row],[Serv. Culturales Derecho Hab Publ]:[Soci Comedores Pensionados Jubl]])</f>
        <v>1545</v>
      </c>
    </row>
    <row r="416" spans="1:12" x14ac:dyDescent="0.3">
      <c r="A416" s="2">
        <v>2022</v>
      </c>
      <c r="B416" t="s">
        <v>50</v>
      </c>
      <c r="C416" s="2">
        <v>157</v>
      </c>
      <c r="D416" s="2">
        <v>621</v>
      </c>
      <c r="E416" s="2">
        <v>0</v>
      </c>
      <c r="F416" s="2">
        <v>220</v>
      </c>
      <c r="G416" s="2">
        <v>228</v>
      </c>
      <c r="H416" s="2">
        <v>308</v>
      </c>
      <c r="I416" s="2">
        <v>3</v>
      </c>
      <c r="J416" s="2">
        <v>0</v>
      </c>
      <c r="K416" s="1">
        <v>44562</v>
      </c>
      <c r="L416" s="2">
        <f>SUM(Tabla1[[#This Row],[Serv. Culturales Derecho Hab Publ]:[Soci Comedores Pensionados Jubl]])</f>
        <v>1537</v>
      </c>
    </row>
    <row r="417" spans="1:12" x14ac:dyDescent="0.3">
      <c r="A417" s="2">
        <v>2023</v>
      </c>
      <c r="B417" t="s">
        <v>11</v>
      </c>
      <c r="C417" s="2">
        <v>240</v>
      </c>
      <c r="D417" s="2">
        <v>488</v>
      </c>
      <c r="E417" s="2">
        <v>0</v>
      </c>
      <c r="F417" s="2">
        <v>99</v>
      </c>
      <c r="G417" s="2">
        <v>433</v>
      </c>
      <c r="H417" s="2">
        <v>267</v>
      </c>
      <c r="I417" s="2">
        <v>4</v>
      </c>
      <c r="J417" s="2">
        <v>0</v>
      </c>
      <c r="K417" s="1">
        <v>44927</v>
      </c>
      <c r="L417" s="2">
        <f>SUM(Tabla1[[#This Row],[Serv. Culturales Derecho Hab Publ]:[Soci Comedores Pensionados Jubl]])</f>
        <v>1531</v>
      </c>
    </row>
    <row r="418" spans="1:12" x14ac:dyDescent="0.3">
      <c r="A418" s="2">
        <v>2022</v>
      </c>
      <c r="B418" t="s">
        <v>11</v>
      </c>
      <c r="C418" s="2">
        <v>320</v>
      </c>
      <c r="D418" s="2">
        <v>352</v>
      </c>
      <c r="E418" s="2">
        <v>0</v>
      </c>
      <c r="F418" s="2">
        <v>142</v>
      </c>
      <c r="G418" s="2">
        <v>416</v>
      </c>
      <c r="H418" s="2">
        <v>282</v>
      </c>
      <c r="I418" s="2">
        <v>4</v>
      </c>
      <c r="J418" s="2">
        <v>0</v>
      </c>
      <c r="K418" s="1">
        <v>44562</v>
      </c>
      <c r="L418" s="2">
        <f>SUM(Tabla1[[#This Row],[Serv. Culturales Derecho Hab Publ]:[Soci Comedores Pensionados Jubl]])</f>
        <v>1516</v>
      </c>
    </row>
    <row r="419" spans="1:12" x14ac:dyDescent="0.3">
      <c r="A419" s="2">
        <v>2025</v>
      </c>
      <c r="B419" t="s">
        <v>59</v>
      </c>
      <c r="C419" s="2">
        <v>59</v>
      </c>
      <c r="D419" s="2">
        <v>196</v>
      </c>
      <c r="E419" s="2">
        <v>0</v>
      </c>
      <c r="F419" s="2">
        <v>1036</v>
      </c>
      <c r="G419" s="2">
        <v>196</v>
      </c>
      <c r="H419" s="2">
        <v>0</v>
      </c>
      <c r="I419" s="2">
        <v>0</v>
      </c>
      <c r="J419" s="2">
        <v>0</v>
      </c>
      <c r="K419" s="1">
        <v>45658</v>
      </c>
      <c r="L419" s="2">
        <f>SUM(Tabla1[[#This Row],[Serv. Culturales Derecho Hab Publ]:[Soci Comedores Pensionados Jubl]])</f>
        <v>1487</v>
      </c>
    </row>
    <row r="420" spans="1:12" x14ac:dyDescent="0.3">
      <c r="A420" s="2">
        <v>2021</v>
      </c>
      <c r="B420" t="s">
        <v>8</v>
      </c>
      <c r="C420" s="2">
        <v>139</v>
      </c>
      <c r="D420" s="2">
        <v>521</v>
      </c>
      <c r="E420" s="2">
        <v>19</v>
      </c>
      <c r="F420" s="2">
        <v>51</v>
      </c>
      <c r="G420" s="2">
        <v>605</v>
      </c>
      <c r="H420" s="2">
        <v>60</v>
      </c>
      <c r="I420" s="2">
        <v>81</v>
      </c>
      <c r="J420" s="2">
        <v>0</v>
      </c>
      <c r="K420" s="1">
        <v>44197</v>
      </c>
      <c r="L420" s="2">
        <f>SUM(Tabla1[[#This Row],[Serv. Culturales Derecho Hab Publ]:[Soci Comedores Pensionados Jubl]])</f>
        <v>1476</v>
      </c>
    </row>
    <row r="421" spans="1:12" x14ac:dyDescent="0.3">
      <c r="A421" s="2">
        <v>2025</v>
      </c>
      <c r="B421" t="s">
        <v>5</v>
      </c>
      <c r="C421" s="2">
        <v>57</v>
      </c>
      <c r="D421" s="2">
        <v>305</v>
      </c>
      <c r="E421" s="2">
        <v>40</v>
      </c>
      <c r="F421" s="2">
        <v>0</v>
      </c>
      <c r="G421" s="2">
        <v>618</v>
      </c>
      <c r="H421" s="2">
        <v>272</v>
      </c>
      <c r="I421" s="2">
        <v>183</v>
      </c>
      <c r="J421" s="2">
        <v>0</v>
      </c>
      <c r="K421" s="1">
        <v>45658</v>
      </c>
      <c r="L421" s="2">
        <f>SUM(Tabla1[[#This Row],[Serv. Culturales Derecho Hab Publ]:[Soci Comedores Pensionados Jubl]])</f>
        <v>1475</v>
      </c>
    </row>
    <row r="422" spans="1:12" x14ac:dyDescent="0.3">
      <c r="A422" s="2">
        <v>2025</v>
      </c>
      <c r="B422" t="s">
        <v>12</v>
      </c>
      <c r="C422" s="2">
        <v>190</v>
      </c>
      <c r="D422" s="2">
        <v>535</v>
      </c>
      <c r="E422" s="2">
        <v>0</v>
      </c>
      <c r="F422" s="2">
        <v>8</v>
      </c>
      <c r="G422" s="2">
        <v>291</v>
      </c>
      <c r="H422" s="2">
        <v>260</v>
      </c>
      <c r="I422" s="2">
        <v>151</v>
      </c>
      <c r="J422" s="2">
        <v>0</v>
      </c>
      <c r="K422" s="1">
        <v>45658</v>
      </c>
      <c r="L422" s="2">
        <f>SUM(Tabla1[[#This Row],[Serv. Culturales Derecho Hab Publ]:[Soci Comedores Pensionados Jubl]])</f>
        <v>1435</v>
      </c>
    </row>
    <row r="423" spans="1:12" x14ac:dyDescent="0.3">
      <c r="A423" s="2">
        <v>2022</v>
      </c>
      <c r="B423" t="s">
        <v>13</v>
      </c>
      <c r="C423" s="2">
        <v>168</v>
      </c>
      <c r="D423" s="2">
        <v>398</v>
      </c>
      <c r="E423" s="2">
        <v>192</v>
      </c>
      <c r="F423" s="2">
        <v>1</v>
      </c>
      <c r="G423" s="2">
        <v>381</v>
      </c>
      <c r="H423" s="2">
        <v>184</v>
      </c>
      <c r="I423" s="2">
        <v>107</v>
      </c>
      <c r="J423" s="2">
        <v>0</v>
      </c>
      <c r="K423" s="1">
        <v>44562</v>
      </c>
      <c r="L423" s="2">
        <f>SUM(Tabla1[[#This Row],[Serv. Culturales Derecho Hab Publ]:[Soci Comedores Pensionados Jubl]])</f>
        <v>1431</v>
      </c>
    </row>
    <row r="424" spans="1:12" x14ac:dyDescent="0.3">
      <c r="A424" s="2">
        <v>2024</v>
      </c>
      <c r="B424" t="s">
        <v>13</v>
      </c>
      <c r="C424" s="2">
        <v>393</v>
      </c>
      <c r="D424" s="2">
        <v>359</v>
      </c>
      <c r="E424" s="2">
        <v>0</v>
      </c>
      <c r="F424" s="2">
        <v>0</v>
      </c>
      <c r="G424" s="2">
        <v>180</v>
      </c>
      <c r="H424" s="2">
        <v>286</v>
      </c>
      <c r="I424" s="2">
        <v>201</v>
      </c>
      <c r="J424" s="2">
        <v>0</v>
      </c>
      <c r="K424" s="1">
        <v>45292</v>
      </c>
      <c r="L424" s="2">
        <f>SUM(Tabla1[[#This Row],[Serv. Culturales Derecho Hab Publ]:[Soci Comedores Pensionados Jubl]])</f>
        <v>1419</v>
      </c>
    </row>
    <row r="425" spans="1:12" x14ac:dyDescent="0.3">
      <c r="A425" s="2">
        <v>2021</v>
      </c>
      <c r="B425" t="s">
        <v>16</v>
      </c>
      <c r="C425" s="2">
        <v>110</v>
      </c>
      <c r="D425" s="2">
        <v>193</v>
      </c>
      <c r="E425" s="2">
        <v>157</v>
      </c>
      <c r="F425" s="2">
        <v>69</v>
      </c>
      <c r="G425" s="2">
        <v>541</v>
      </c>
      <c r="H425" s="2">
        <v>164</v>
      </c>
      <c r="I425" s="2">
        <v>157</v>
      </c>
      <c r="J425" s="2">
        <v>0</v>
      </c>
      <c r="K425" s="1">
        <v>44197</v>
      </c>
      <c r="L425" s="2">
        <f>SUM(Tabla1[[#This Row],[Serv. Culturales Derecho Hab Publ]:[Soci Comedores Pensionados Jubl]])</f>
        <v>1391</v>
      </c>
    </row>
    <row r="426" spans="1:12" x14ac:dyDescent="0.3">
      <c r="A426" s="2">
        <v>2021</v>
      </c>
      <c r="B426" t="s">
        <v>7</v>
      </c>
      <c r="C426" s="2">
        <v>282</v>
      </c>
      <c r="D426" s="2">
        <v>563</v>
      </c>
      <c r="E426" s="2">
        <v>0</v>
      </c>
      <c r="F426" s="2">
        <v>6</v>
      </c>
      <c r="G426" s="2">
        <v>216</v>
      </c>
      <c r="H426" s="2">
        <v>311</v>
      </c>
      <c r="I426" s="2">
        <v>11</v>
      </c>
      <c r="J426" s="2">
        <v>0</v>
      </c>
      <c r="K426" s="1">
        <v>44197</v>
      </c>
      <c r="L426" s="2">
        <f>SUM(Tabla1[[#This Row],[Serv. Culturales Derecho Hab Publ]:[Soci Comedores Pensionados Jubl]])</f>
        <v>1389</v>
      </c>
    </row>
    <row r="427" spans="1:12" x14ac:dyDescent="0.3">
      <c r="A427" s="2">
        <v>2022</v>
      </c>
      <c r="B427" t="s">
        <v>14</v>
      </c>
      <c r="C427" s="2">
        <v>488</v>
      </c>
      <c r="D427" s="2">
        <v>332</v>
      </c>
      <c r="E427" s="2">
        <v>0</v>
      </c>
      <c r="F427" s="2">
        <v>9</v>
      </c>
      <c r="G427" s="2">
        <v>111</v>
      </c>
      <c r="H427" s="2">
        <v>353</v>
      </c>
      <c r="I427" s="2">
        <v>94</v>
      </c>
      <c r="J427" s="2">
        <v>0</v>
      </c>
      <c r="K427" s="1">
        <v>44562</v>
      </c>
      <c r="L427" s="2">
        <f>SUM(Tabla1[[#This Row],[Serv. Culturales Derecho Hab Publ]:[Soci Comedores Pensionados Jubl]])</f>
        <v>1387</v>
      </c>
    </row>
    <row r="428" spans="1:12" x14ac:dyDescent="0.3">
      <c r="A428" s="2">
        <v>2021</v>
      </c>
      <c r="B428" t="s">
        <v>15</v>
      </c>
      <c r="C428" s="2">
        <v>109</v>
      </c>
      <c r="D428" s="2">
        <v>300</v>
      </c>
      <c r="E428" s="2">
        <v>2</v>
      </c>
      <c r="F428" s="2">
        <v>0</v>
      </c>
      <c r="G428" s="2">
        <v>701</v>
      </c>
      <c r="H428" s="2">
        <v>260</v>
      </c>
      <c r="I428" s="2">
        <v>4</v>
      </c>
      <c r="J428" s="2">
        <v>0</v>
      </c>
      <c r="K428" s="1">
        <v>44197</v>
      </c>
      <c r="L428" s="2">
        <f>SUM(Tabla1[[#This Row],[Serv. Culturales Derecho Hab Publ]:[Soci Comedores Pensionados Jubl]])</f>
        <v>1376</v>
      </c>
    </row>
    <row r="429" spans="1:12" x14ac:dyDescent="0.3">
      <c r="A429" s="2">
        <v>2023</v>
      </c>
      <c r="B429" t="s">
        <v>32</v>
      </c>
      <c r="C429" s="2">
        <v>2</v>
      </c>
      <c r="D429" s="2">
        <v>761</v>
      </c>
      <c r="E429" s="2">
        <v>0</v>
      </c>
      <c r="F429" s="2">
        <v>7</v>
      </c>
      <c r="G429" s="2">
        <v>309</v>
      </c>
      <c r="H429" s="2">
        <v>277</v>
      </c>
      <c r="I429" s="2">
        <v>5</v>
      </c>
      <c r="J429" s="2">
        <v>0</v>
      </c>
      <c r="K429" s="1">
        <v>44927</v>
      </c>
      <c r="L429" s="2">
        <f>SUM(Tabla1[[#This Row],[Serv. Culturales Derecho Hab Publ]:[Soci Comedores Pensionados Jubl]])</f>
        <v>1361</v>
      </c>
    </row>
    <row r="430" spans="1:12" x14ac:dyDescent="0.3">
      <c r="A430" s="2">
        <v>2025</v>
      </c>
      <c r="B430" t="s">
        <v>58</v>
      </c>
      <c r="C430" s="2">
        <v>127</v>
      </c>
      <c r="D430" s="2">
        <v>558</v>
      </c>
      <c r="E430" s="2">
        <v>6</v>
      </c>
      <c r="F430" s="2">
        <v>20</v>
      </c>
      <c r="G430" s="2">
        <v>287</v>
      </c>
      <c r="H430" s="2">
        <v>206</v>
      </c>
      <c r="I430" s="2">
        <v>106</v>
      </c>
      <c r="J430" s="2">
        <v>0</v>
      </c>
      <c r="K430" s="1">
        <v>45658</v>
      </c>
      <c r="L430" s="2">
        <f>SUM(Tabla1[[#This Row],[Serv. Culturales Derecho Hab Publ]:[Soci Comedores Pensionados Jubl]])</f>
        <v>1310</v>
      </c>
    </row>
    <row r="431" spans="1:12" x14ac:dyDescent="0.3">
      <c r="A431" s="2">
        <v>2022</v>
      </c>
      <c r="B431" t="s">
        <v>16</v>
      </c>
      <c r="C431" s="2">
        <v>80</v>
      </c>
      <c r="D431" s="2">
        <v>312</v>
      </c>
      <c r="E431" s="2">
        <v>0</v>
      </c>
      <c r="F431" s="2">
        <v>120</v>
      </c>
      <c r="G431" s="2">
        <v>469</v>
      </c>
      <c r="H431" s="2">
        <v>212</v>
      </c>
      <c r="I431" s="2">
        <v>91</v>
      </c>
      <c r="J431" s="2">
        <v>0</v>
      </c>
      <c r="K431" s="1">
        <v>44562</v>
      </c>
      <c r="L431" s="2">
        <f>SUM(Tabla1[[#This Row],[Serv. Culturales Derecho Hab Publ]:[Soci Comedores Pensionados Jubl]])</f>
        <v>1284</v>
      </c>
    </row>
    <row r="432" spans="1:12" x14ac:dyDescent="0.3">
      <c r="A432" s="2">
        <v>2021</v>
      </c>
      <c r="B432" t="s">
        <v>50</v>
      </c>
      <c r="C432" s="2">
        <v>145</v>
      </c>
      <c r="D432" s="2">
        <v>509</v>
      </c>
      <c r="E432" s="2">
        <v>5</v>
      </c>
      <c r="F432" s="2">
        <v>227</v>
      </c>
      <c r="G432" s="2">
        <v>195</v>
      </c>
      <c r="H432" s="2">
        <v>193</v>
      </c>
      <c r="I432" s="2">
        <v>1</v>
      </c>
      <c r="J432" s="2">
        <v>0</v>
      </c>
      <c r="K432" s="1">
        <v>44197</v>
      </c>
      <c r="L432" s="2">
        <f>SUM(Tabla1[[#This Row],[Serv. Culturales Derecho Hab Publ]:[Soci Comedores Pensionados Jubl]])</f>
        <v>1275</v>
      </c>
    </row>
    <row r="433" spans="1:12" x14ac:dyDescent="0.3">
      <c r="A433" s="2">
        <v>2024</v>
      </c>
      <c r="B433" t="s">
        <v>49</v>
      </c>
      <c r="C433" s="2">
        <v>294</v>
      </c>
      <c r="D433" s="2">
        <v>266</v>
      </c>
      <c r="E433" s="2">
        <v>10</v>
      </c>
      <c r="F433" s="2">
        <v>6</v>
      </c>
      <c r="G433" s="2">
        <v>222</v>
      </c>
      <c r="H433" s="2">
        <v>296</v>
      </c>
      <c r="I433" s="2">
        <v>158</v>
      </c>
      <c r="J433" s="2">
        <v>0</v>
      </c>
      <c r="K433" s="1">
        <v>45292</v>
      </c>
      <c r="L433" s="2">
        <f>SUM(Tabla1[[#This Row],[Serv. Culturales Derecho Hab Publ]:[Soci Comedores Pensionados Jubl]])</f>
        <v>1252</v>
      </c>
    </row>
    <row r="434" spans="1:12" x14ac:dyDescent="0.3">
      <c r="A434" s="2">
        <v>2024</v>
      </c>
      <c r="B434" t="s">
        <v>33</v>
      </c>
      <c r="C434" s="2">
        <v>192</v>
      </c>
      <c r="D434" s="2">
        <v>419</v>
      </c>
      <c r="E434" s="2">
        <v>250</v>
      </c>
      <c r="F434" s="2">
        <v>59</v>
      </c>
      <c r="G434" s="2">
        <v>163</v>
      </c>
      <c r="H434" s="2">
        <v>4</v>
      </c>
      <c r="I434" s="2">
        <v>160</v>
      </c>
      <c r="J434" s="2">
        <v>0</v>
      </c>
      <c r="K434" s="1">
        <v>45292</v>
      </c>
      <c r="L434" s="2">
        <f>SUM(Tabla1[[#This Row],[Serv. Culturales Derecho Hab Publ]:[Soci Comedores Pensionados Jubl]])</f>
        <v>1247</v>
      </c>
    </row>
    <row r="435" spans="1:12" x14ac:dyDescent="0.3">
      <c r="A435" s="2">
        <v>2024</v>
      </c>
      <c r="B435" t="s">
        <v>1</v>
      </c>
      <c r="C435" s="2">
        <v>66</v>
      </c>
      <c r="D435" s="2">
        <v>586</v>
      </c>
      <c r="E435" s="2">
        <v>19</v>
      </c>
      <c r="F435" s="2">
        <v>0</v>
      </c>
      <c r="G435" s="2">
        <v>257</v>
      </c>
      <c r="H435" s="2">
        <v>294</v>
      </c>
      <c r="I435" s="2">
        <v>1</v>
      </c>
      <c r="J435" s="2">
        <v>0</v>
      </c>
      <c r="K435" s="1">
        <v>45292</v>
      </c>
      <c r="L435" s="2">
        <f>SUM(Tabla1[[#This Row],[Serv. Culturales Derecho Hab Publ]:[Soci Comedores Pensionados Jubl]])</f>
        <v>1223</v>
      </c>
    </row>
    <row r="436" spans="1:12" x14ac:dyDescent="0.3">
      <c r="A436" s="2">
        <v>2021</v>
      </c>
      <c r="B436" t="s">
        <v>3</v>
      </c>
      <c r="C436" s="2">
        <v>254</v>
      </c>
      <c r="D436" s="2">
        <v>302</v>
      </c>
      <c r="E436" s="2">
        <v>0</v>
      </c>
      <c r="F436" s="2">
        <v>74</v>
      </c>
      <c r="G436" s="2">
        <v>301</v>
      </c>
      <c r="H436" s="2">
        <v>138</v>
      </c>
      <c r="I436" s="2">
        <v>107</v>
      </c>
      <c r="J436" s="2">
        <v>0</v>
      </c>
      <c r="K436" s="1">
        <v>44197</v>
      </c>
      <c r="L436" s="2">
        <f>SUM(Tabla1[[#This Row],[Serv. Culturales Derecho Hab Publ]:[Soci Comedores Pensionados Jubl]])</f>
        <v>1176</v>
      </c>
    </row>
    <row r="437" spans="1:12" x14ac:dyDescent="0.3">
      <c r="A437" s="2">
        <v>2023</v>
      </c>
      <c r="B437" t="s">
        <v>21</v>
      </c>
      <c r="C437" s="2">
        <v>353</v>
      </c>
      <c r="D437" s="2">
        <v>263</v>
      </c>
      <c r="E437" s="2">
        <v>0</v>
      </c>
      <c r="F437" s="2">
        <v>0</v>
      </c>
      <c r="G437" s="2">
        <v>211</v>
      </c>
      <c r="H437" s="2">
        <v>217</v>
      </c>
      <c r="I437" s="2">
        <v>106</v>
      </c>
      <c r="J437" s="2">
        <v>0</v>
      </c>
      <c r="K437" s="1">
        <v>44927</v>
      </c>
      <c r="L437" s="2">
        <f>SUM(Tabla1[[#This Row],[Serv. Culturales Derecho Hab Publ]:[Soci Comedores Pensionados Jubl]])</f>
        <v>1150</v>
      </c>
    </row>
    <row r="438" spans="1:12" x14ac:dyDescent="0.3">
      <c r="A438" s="2">
        <v>2023</v>
      </c>
      <c r="B438" t="s">
        <v>49</v>
      </c>
      <c r="C438" s="2">
        <v>317</v>
      </c>
      <c r="D438" s="2">
        <v>217</v>
      </c>
      <c r="E438" s="2">
        <v>0</v>
      </c>
      <c r="F438" s="2">
        <v>46</v>
      </c>
      <c r="G438" s="2">
        <v>281</v>
      </c>
      <c r="H438" s="2">
        <v>195</v>
      </c>
      <c r="I438" s="2">
        <v>74</v>
      </c>
      <c r="J438" s="2">
        <v>0</v>
      </c>
      <c r="K438" s="1">
        <v>44927</v>
      </c>
      <c r="L438" s="2">
        <f>SUM(Tabla1[[#This Row],[Serv. Culturales Derecho Hab Publ]:[Soci Comedores Pensionados Jubl]])</f>
        <v>1130</v>
      </c>
    </row>
    <row r="439" spans="1:12" x14ac:dyDescent="0.3">
      <c r="A439" s="2">
        <v>2022</v>
      </c>
      <c r="B439" t="s">
        <v>49</v>
      </c>
      <c r="C439" s="2">
        <v>201</v>
      </c>
      <c r="D439" s="2">
        <v>206</v>
      </c>
      <c r="E439" s="2">
        <v>0</v>
      </c>
      <c r="F439" s="2">
        <v>39</v>
      </c>
      <c r="G439" s="2">
        <v>360</v>
      </c>
      <c r="H439" s="2">
        <v>308</v>
      </c>
      <c r="I439" s="2">
        <v>0</v>
      </c>
      <c r="J439" s="2">
        <v>0</v>
      </c>
      <c r="K439" s="1">
        <v>44562</v>
      </c>
      <c r="L439" s="2">
        <f>SUM(Tabla1[[#This Row],[Serv. Culturales Derecho Hab Publ]:[Soci Comedores Pensionados Jubl]])</f>
        <v>1114</v>
      </c>
    </row>
    <row r="440" spans="1:12" x14ac:dyDescent="0.3">
      <c r="A440" s="2">
        <v>2023</v>
      </c>
      <c r="B440" t="s">
        <v>16</v>
      </c>
      <c r="C440" s="2">
        <v>75</v>
      </c>
      <c r="D440" s="2">
        <v>308</v>
      </c>
      <c r="E440" s="2">
        <v>2</v>
      </c>
      <c r="F440" s="2">
        <v>125</v>
      </c>
      <c r="G440" s="2">
        <v>371</v>
      </c>
      <c r="H440" s="2">
        <v>146</v>
      </c>
      <c r="I440" s="2">
        <v>44</v>
      </c>
      <c r="J440" s="2">
        <v>0</v>
      </c>
      <c r="K440" s="1">
        <v>44927</v>
      </c>
      <c r="L440" s="2">
        <f>SUM(Tabla1[[#This Row],[Serv. Culturales Derecho Hab Publ]:[Soci Comedores Pensionados Jubl]])</f>
        <v>1071</v>
      </c>
    </row>
    <row r="441" spans="1:12" x14ac:dyDescent="0.3">
      <c r="A441" s="2">
        <v>2025</v>
      </c>
      <c r="B441" t="s">
        <v>0</v>
      </c>
      <c r="C441" s="2">
        <v>205</v>
      </c>
      <c r="D441" s="2">
        <v>439</v>
      </c>
      <c r="E441" s="2">
        <v>3</v>
      </c>
      <c r="F441" s="2">
        <v>12</v>
      </c>
      <c r="G441" s="2">
        <v>47</v>
      </c>
      <c r="H441" s="2">
        <v>253</v>
      </c>
      <c r="I441" s="2">
        <v>38</v>
      </c>
      <c r="J441" s="2">
        <v>0</v>
      </c>
      <c r="K441" s="1">
        <v>45658</v>
      </c>
      <c r="L441" s="2">
        <f>SUM(Tabla1[[#This Row],[Serv. Culturales Derecho Hab Publ]:[Soci Comedores Pensionados Jubl]])</f>
        <v>997</v>
      </c>
    </row>
    <row r="442" spans="1:12" x14ac:dyDescent="0.3">
      <c r="A442" s="2">
        <v>2025</v>
      </c>
      <c r="B442" t="s">
        <v>15</v>
      </c>
      <c r="C442" s="2">
        <v>108</v>
      </c>
      <c r="D442" s="2">
        <v>301</v>
      </c>
      <c r="E442" s="2">
        <v>0</v>
      </c>
      <c r="F442" s="2">
        <v>0</v>
      </c>
      <c r="G442" s="2">
        <v>320</v>
      </c>
      <c r="H442" s="2">
        <v>262</v>
      </c>
      <c r="I442" s="2">
        <v>2</v>
      </c>
      <c r="J442" s="2">
        <v>0</v>
      </c>
      <c r="K442" s="1">
        <v>45658</v>
      </c>
      <c r="L442" s="2">
        <f>SUM(Tabla1[[#This Row],[Serv. Culturales Derecho Hab Publ]:[Soci Comedores Pensionados Jubl]])</f>
        <v>993</v>
      </c>
    </row>
    <row r="443" spans="1:12" x14ac:dyDescent="0.3">
      <c r="A443" s="2">
        <v>2025</v>
      </c>
      <c r="B443" t="s">
        <v>6</v>
      </c>
      <c r="C443" s="2">
        <v>57</v>
      </c>
      <c r="D443" s="2">
        <v>476</v>
      </c>
      <c r="E443" s="2">
        <v>0</v>
      </c>
      <c r="F443" s="2">
        <v>0</v>
      </c>
      <c r="G443" s="2">
        <v>352</v>
      </c>
      <c r="H443" s="2">
        <v>36</v>
      </c>
      <c r="I443" s="2">
        <v>35</v>
      </c>
      <c r="J443" s="2">
        <v>0</v>
      </c>
      <c r="K443" s="1">
        <v>45658</v>
      </c>
      <c r="L443" s="2">
        <f>SUM(Tabla1[[#This Row],[Serv. Culturales Derecho Hab Publ]:[Soci Comedores Pensionados Jubl]])</f>
        <v>956</v>
      </c>
    </row>
    <row r="444" spans="1:12" x14ac:dyDescent="0.3">
      <c r="A444" s="2">
        <v>2024</v>
      </c>
      <c r="B444" t="s">
        <v>9</v>
      </c>
      <c r="C444" s="2">
        <v>94</v>
      </c>
      <c r="D444" s="2">
        <v>562</v>
      </c>
      <c r="E444" s="2">
        <v>104</v>
      </c>
      <c r="F444" s="2">
        <v>6</v>
      </c>
      <c r="G444" s="2">
        <v>38</v>
      </c>
      <c r="H444" s="2">
        <v>95</v>
      </c>
      <c r="I444" s="2">
        <v>26</v>
      </c>
      <c r="J444" s="2">
        <v>0</v>
      </c>
      <c r="K444" s="1">
        <v>45292</v>
      </c>
      <c r="L444" s="2">
        <f>SUM(Tabla1[[#This Row],[Serv. Culturales Derecho Hab Publ]:[Soci Comedores Pensionados Jubl]])</f>
        <v>925</v>
      </c>
    </row>
    <row r="445" spans="1:12" x14ac:dyDescent="0.3">
      <c r="A445" s="2">
        <v>2021</v>
      </c>
      <c r="B445" t="s">
        <v>24</v>
      </c>
      <c r="C445" s="2">
        <v>7</v>
      </c>
      <c r="D445" s="2">
        <v>913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0</v>
      </c>
      <c r="K445" s="1">
        <v>44197</v>
      </c>
      <c r="L445" s="2">
        <f>SUM(Tabla1[[#This Row],[Serv. Culturales Derecho Hab Publ]:[Soci Comedores Pensionados Jubl]])</f>
        <v>921</v>
      </c>
    </row>
    <row r="446" spans="1:12" x14ac:dyDescent="0.3">
      <c r="A446" s="2">
        <v>2025</v>
      </c>
      <c r="B446" t="s">
        <v>10</v>
      </c>
      <c r="C446" s="2">
        <v>96</v>
      </c>
      <c r="D446" s="2">
        <v>252</v>
      </c>
      <c r="E446" s="2">
        <v>0</v>
      </c>
      <c r="F446" s="2">
        <v>13</v>
      </c>
      <c r="G446" s="2">
        <v>503</v>
      </c>
      <c r="H446" s="2">
        <v>55</v>
      </c>
      <c r="I446" s="2">
        <v>0</v>
      </c>
      <c r="J446" s="2">
        <v>0</v>
      </c>
      <c r="K446" s="1">
        <v>45658</v>
      </c>
      <c r="L446" s="2">
        <f>SUM(Tabla1[[#This Row],[Serv. Culturales Derecho Hab Publ]:[Soci Comedores Pensionados Jubl]])</f>
        <v>919</v>
      </c>
    </row>
    <row r="447" spans="1:12" x14ac:dyDescent="0.3">
      <c r="A447" s="2">
        <v>2022</v>
      </c>
      <c r="B447" t="s">
        <v>33</v>
      </c>
      <c r="C447" s="2">
        <v>204</v>
      </c>
      <c r="D447" s="2">
        <v>146</v>
      </c>
      <c r="E447" s="2">
        <v>212</v>
      </c>
      <c r="F447" s="2">
        <v>10</v>
      </c>
      <c r="G447" s="2">
        <v>125</v>
      </c>
      <c r="H447" s="2">
        <v>138</v>
      </c>
      <c r="I447" s="2">
        <v>77</v>
      </c>
      <c r="J447" s="2">
        <v>0</v>
      </c>
      <c r="K447" s="1">
        <v>44562</v>
      </c>
      <c r="L447" s="2">
        <f>SUM(Tabla1[[#This Row],[Serv. Culturales Derecho Hab Publ]:[Soci Comedores Pensionados Jubl]])</f>
        <v>912</v>
      </c>
    </row>
    <row r="448" spans="1:12" x14ac:dyDescent="0.3">
      <c r="A448" s="2">
        <v>2024</v>
      </c>
      <c r="B448" t="s">
        <v>16</v>
      </c>
      <c r="C448" s="2">
        <v>59</v>
      </c>
      <c r="D448" s="2">
        <v>299</v>
      </c>
      <c r="E448" s="2">
        <v>0</v>
      </c>
      <c r="F448" s="2">
        <v>115</v>
      </c>
      <c r="G448" s="2">
        <v>264</v>
      </c>
      <c r="H448" s="2">
        <v>138</v>
      </c>
      <c r="I448" s="2">
        <v>22</v>
      </c>
      <c r="J448" s="2">
        <v>0</v>
      </c>
      <c r="K448" s="1">
        <v>45292</v>
      </c>
      <c r="L448" s="2">
        <f>SUM(Tabla1[[#This Row],[Serv. Culturales Derecho Hab Publ]:[Soci Comedores Pensionados Jubl]])</f>
        <v>897</v>
      </c>
    </row>
    <row r="449" spans="1:12" x14ac:dyDescent="0.3">
      <c r="A449" s="2">
        <v>2021</v>
      </c>
      <c r="B449" t="s">
        <v>13</v>
      </c>
      <c r="C449" s="2">
        <v>366</v>
      </c>
      <c r="D449" s="2">
        <v>176</v>
      </c>
      <c r="E449" s="2">
        <v>68</v>
      </c>
      <c r="F449" s="2">
        <v>2</v>
      </c>
      <c r="G449" s="2">
        <v>129</v>
      </c>
      <c r="H449" s="2">
        <v>0</v>
      </c>
      <c r="I449" s="2">
        <v>148</v>
      </c>
      <c r="J449" s="2">
        <v>0</v>
      </c>
      <c r="K449" s="1">
        <v>44197</v>
      </c>
      <c r="L449" s="2">
        <f>SUM(Tabla1[[#This Row],[Serv. Culturales Derecho Hab Publ]:[Soci Comedores Pensionados Jubl]])</f>
        <v>889</v>
      </c>
    </row>
    <row r="450" spans="1:12" x14ac:dyDescent="0.3">
      <c r="A450" s="2">
        <v>2024</v>
      </c>
      <c r="B450" t="s">
        <v>6</v>
      </c>
      <c r="C450" s="2">
        <v>27</v>
      </c>
      <c r="D450" s="2">
        <v>521</v>
      </c>
      <c r="E450" s="2">
        <v>0</v>
      </c>
      <c r="F450" s="2">
        <v>4</v>
      </c>
      <c r="G450" s="2">
        <v>118</v>
      </c>
      <c r="H450" s="2">
        <v>167</v>
      </c>
      <c r="I450" s="2">
        <v>24</v>
      </c>
      <c r="J450" s="2">
        <v>0</v>
      </c>
      <c r="K450" s="1">
        <v>45292</v>
      </c>
      <c r="L450" s="2">
        <f>SUM(Tabla1[[#This Row],[Serv. Culturales Derecho Hab Publ]:[Soci Comedores Pensionados Jubl]])</f>
        <v>861</v>
      </c>
    </row>
    <row r="451" spans="1:12" x14ac:dyDescent="0.3">
      <c r="A451" s="2">
        <v>2024</v>
      </c>
      <c r="B451" t="s">
        <v>21</v>
      </c>
      <c r="C451" s="2">
        <v>266</v>
      </c>
      <c r="D451" s="2">
        <v>253</v>
      </c>
      <c r="E451" s="2">
        <v>0</v>
      </c>
      <c r="F451" s="2">
        <v>0</v>
      </c>
      <c r="G451" s="2">
        <v>95</v>
      </c>
      <c r="H451" s="2">
        <v>166</v>
      </c>
      <c r="I451" s="2">
        <v>78</v>
      </c>
      <c r="J451" s="2">
        <v>0</v>
      </c>
      <c r="K451" s="1">
        <v>45292</v>
      </c>
      <c r="L451" s="2">
        <f>SUM(Tabla1[[#This Row],[Serv. Culturales Derecho Hab Publ]:[Soci Comedores Pensionados Jubl]])</f>
        <v>858</v>
      </c>
    </row>
    <row r="452" spans="1:12" x14ac:dyDescent="0.3">
      <c r="A452" s="2">
        <v>2025</v>
      </c>
      <c r="B452" t="s">
        <v>14</v>
      </c>
      <c r="C452" s="2">
        <v>153</v>
      </c>
      <c r="D452" s="2">
        <v>168</v>
      </c>
      <c r="E452" s="2">
        <v>0</v>
      </c>
      <c r="F452" s="2">
        <v>2</v>
      </c>
      <c r="G452" s="2">
        <v>241</v>
      </c>
      <c r="H452" s="2">
        <v>191</v>
      </c>
      <c r="I452" s="2">
        <v>72</v>
      </c>
      <c r="J452" s="2">
        <v>0</v>
      </c>
      <c r="K452" s="1">
        <v>45658</v>
      </c>
      <c r="L452" s="2">
        <f>SUM(Tabla1[[#This Row],[Serv. Culturales Derecho Hab Publ]:[Soci Comedores Pensionados Jubl]])</f>
        <v>827</v>
      </c>
    </row>
    <row r="453" spans="1:12" x14ac:dyDescent="0.3">
      <c r="A453" s="2">
        <v>2021</v>
      </c>
      <c r="B453" t="s">
        <v>14</v>
      </c>
      <c r="C453" s="2">
        <v>269</v>
      </c>
      <c r="D453" s="2">
        <v>166</v>
      </c>
      <c r="E453" s="2">
        <v>0</v>
      </c>
      <c r="F453" s="2">
        <v>40</v>
      </c>
      <c r="G453" s="2">
        <v>85</v>
      </c>
      <c r="H453" s="2">
        <v>206</v>
      </c>
      <c r="I453" s="2">
        <v>59</v>
      </c>
      <c r="J453" s="2">
        <v>0</v>
      </c>
      <c r="K453" s="1">
        <v>44197</v>
      </c>
      <c r="L453" s="2">
        <f>SUM(Tabla1[[#This Row],[Serv. Culturales Derecho Hab Publ]:[Soci Comedores Pensionados Jubl]])</f>
        <v>825</v>
      </c>
    </row>
    <row r="454" spans="1:12" x14ac:dyDescent="0.3">
      <c r="A454" s="2">
        <v>2024</v>
      </c>
      <c r="B454" t="s">
        <v>18</v>
      </c>
      <c r="C454" s="2">
        <v>9</v>
      </c>
      <c r="D454" s="2">
        <v>76</v>
      </c>
      <c r="E454" s="2">
        <v>11</v>
      </c>
      <c r="F454" s="2">
        <v>0</v>
      </c>
      <c r="G454" s="2">
        <v>269</v>
      </c>
      <c r="H454" s="2">
        <v>226</v>
      </c>
      <c r="I454" s="2">
        <v>182</v>
      </c>
      <c r="J454" s="2">
        <v>0</v>
      </c>
      <c r="K454" s="1">
        <v>45292</v>
      </c>
      <c r="L454" s="2">
        <f>SUM(Tabla1[[#This Row],[Serv. Culturales Derecho Hab Publ]:[Soci Comedores Pensionados Jubl]])</f>
        <v>773</v>
      </c>
    </row>
    <row r="455" spans="1:12" x14ac:dyDescent="0.3">
      <c r="A455" s="2">
        <v>2022</v>
      </c>
      <c r="B455" t="s">
        <v>32</v>
      </c>
      <c r="C455" s="2">
        <v>113</v>
      </c>
      <c r="D455" s="2">
        <v>241</v>
      </c>
      <c r="E455" s="2">
        <v>0</v>
      </c>
      <c r="F455" s="2">
        <v>7</v>
      </c>
      <c r="G455" s="2">
        <v>200</v>
      </c>
      <c r="H455" s="2">
        <v>176</v>
      </c>
      <c r="I455" s="2">
        <v>7</v>
      </c>
      <c r="J455" s="2">
        <v>0</v>
      </c>
      <c r="K455" s="1">
        <v>44562</v>
      </c>
      <c r="L455" s="2">
        <f>SUM(Tabla1[[#This Row],[Serv. Culturales Derecho Hab Publ]:[Soci Comedores Pensionados Jubl]])</f>
        <v>744</v>
      </c>
    </row>
    <row r="456" spans="1:12" x14ac:dyDescent="0.3">
      <c r="A456" s="2">
        <v>2025</v>
      </c>
      <c r="B456" t="s">
        <v>23</v>
      </c>
      <c r="C456" s="2">
        <v>51</v>
      </c>
      <c r="D456" s="2">
        <v>207</v>
      </c>
      <c r="E456" s="2">
        <v>0</v>
      </c>
      <c r="F456" s="2">
        <v>0</v>
      </c>
      <c r="G456" s="2">
        <v>445</v>
      </c>
      <c r="H456" s="2">
        <v>0</v>
      </c>
      <c r="I456" s="2">
        <v>33</v>
      </c>
      <c r="J456" s="2">
        <v>0</v>
      </c>
      <c r="K456" s="1">
        <v>45658</v>
      </c>
      <c r="L456" s="2">
        <f>SUM(Tabla1[[#This Row],[Serv. Culturales Derecho Hab Publ]:[Soci Comedores Pensionados Jubl]])</f>
        <v>736</v>
      </c>
    </row>
    <row r="457" spans="1:12" x14ac:dyDescent="0.3">
      <c r="A457" s="2">
        <v>2025</v>
      </c>
      <c r="B457" t="s">
        <v>19</v>
      </c>
      <c r="C457" s="2">
        <v>28</v>
      </c>
      <c r="D457" s="2">
        <v>204</v>
      </c>
      <c r="E457" s="2">
        <v>0</v>
      </c>
      <c r="F457" s="2">
        <v>3</v>
      </c>
      <c r="G457" s="2">
        <v>257</v>
      </c>
      <c r="H457" s="2">
        <v>131</v>
      </c>
      <c r="I457" s="2">
        <v>65</v>
      </c>
      <c r="J457" s="2">
        <v>0</v>
      </c>
      <c r="K457" s="1">
        <v>45658</v>
      </c>
      <c r="L457" s="2">
        <f>SUM(Tabla1[[#This Row],[Serv. Culturales Derecho Hab Publ]:[Soci Comedores Pensionados Jubl]])</f>
        <v>688</v>
      </c>
    </row>
    <row r="458" spans="1:12" x14ac:dyDescent="0.3">
      <c r="A458" s="2">
        <v>2021</v>
      </c>
      <c r="B458" t="s">
        <v>49</v>
      </c>
      <c r="C458" s="2">
        <v>11</v>
      </c>
      <c r="D458" s="2">
        <v>299</v>
      </c>
      <c r="E458" s="2">
        <v>0</v>
      </c>
      <c r="F458" s="2">
        <v>0</v>
      </c>
      <c r="G458" s="2">
        <v>216</v>
      </c>
      <c r="H458" s="2">
        <v>148</v>
      </c>
      <c r="I458" s="2">
        <v>9</v>
      </c>
      <c r="J458" s="2">
        <v>0</v>
      </c>
      <c r="K458" s="1">
        <v>44197</v>
      </c>
      <c r="L458" s="2">
        <f>SUM(Tabla1[[#This Row],[Serv. Culturales Derecho Hab Publ]:[Soci Comedores Pensionados Jubl]])</f>
        <v>683</v>
      </c>
    </row>
    <row r="459" spans="1:12" x14ac:dyDescent="0.3">
      <c r="A459" s="2">
        <v>2025</v>
      </c>
      <c r="B459" t="s">
        <v>48</v>
      </c>
      <c r="C459" s="2">
        <v>78</v>
      </c>
      <c r="D459" s="2">
        <v>183</v>
      </c>
      <c r="E459" s="2">
        <v>10</v>
      </c>
      <c r="F459" s="2">
        <v>220</v>
      </c>
      <c r="G459" s="2">
        <v>68</v>
      </c>
      <c r="H459" s="2">
        <v>109</v>
      </c>
      <c r="I459" s="2">
        <v>7</v>
      </c>
      <c r="J459" s="2">
        <v>0</v>
      </c>
      <c r="K459" s="1">
        <v>45658</v>
      </c>
      <c r="L459" s="2">
        <f>SUM(Tabla1[[#This Row],[Serv. Culturales Derecho Hab Publ]:[Soci Comedores Pensionados Jubl]])</f>
        <v>675</v>
      </c>
    </row>
    <row r="460" spans="1:12" x14ac:dyDescent="0.3">
      <c r="A460" s="2">
        <v>2025</v>
      </c>
      <c r="B460" t="s">
        <v>22</v>
      </c>
      <c r="C460" s="2">
        <v>106</v>
      </c>
      <c r="D460" s="2">
        <v>145</v>
      </c>
      <c r="E460" s="2">
        <v>4</v>
      </c>
      <c r="F460" s="2">
        <v>42</v>
      </c>
      <c r="G460" s="2">
        <v>147</v>
      </c>
      <c r="H460" s="2">
        <v>180</v>
      </c>
      <c r="I460" s="2">
        <v>43</v>
      </c>
      <c r="J460" s="2">
        <v>0</v>
      </c>
      <c r="K460" s="1">
        <v>45658</v>
      </c>
      <c r="L460" s="2">
        <f>SUM(Tabla1[[#This Row],[Serv. Culturales Derecho Hab Publ]:[Soci Comedores Pensionados Jubl]])</f>
        <v>667</v>
      </c>
    </row>
    <row r="461" spans="1:12" x14ac:dyDescent="0.3">
      <c r="A461" s="2">
        <v>2025</v>
      </c>
      <c r="B461" t="s">
        <v>9</v>
      </c>
      <c r="C461" s="2">
        <v>10</v>
      </c>
      <c r="D461" s="2">
        <v>514</v>
      </c>
      <c r="E461" s="2">
        <v>0</v>
      </c>
      <c r="F461" s="2">
        <v>5</v>
      </c>
      <c r="G461" s="2">
        <v>0</v>
      </c>
      <c r="H461" s="2">
        <v>80</v>
      </c>
      <c r="I461" s="2">
        <v>0</v>
      </c>
      <c r="J461" s="2">
        <v>0</v>
      </c>
      <c r="K461" s="1">
        <v>45658</v>
      </c>
      <c r="L461" s="2">
        <f>SUM(Tabla1[[#This Row],[Serv. Culturales Derecho Hab Publ]:[Soci Comedores Pensionados Jubl]])</f>
        <v>609</v>
      </c>
    </row>
    <row r="462" spans="1:12" x14ac:dyDescent="0.3">
      <c r="A462" s="2">
        <v>2025</v>
      </c>
      <c r="B462" t="s">
        <v>50</v>
      </c>
      <c r="C462" s="2">
        <v>93</v>
      </c>
      <c r="D462" s="2">
        <v>144</v>
      </c>
      <c r="E462" s="2">
        <v>0</v>
      </c>
      <c r="F462" s="2">
        <v>124</v>
      </c>
      <c r="G462" s="2">
        <v>49</v>
      </c>
      <c r="H462" s="2">
        <v>169</v>
      </c>
      <c r="I462" s="2">
        <v>0</v>
      </c>
      <c r="J462" s="2">
        <v>0</v>
      </c>
      <c r="K462" s="1">
        <v>45658</v>
      </c>
      <c r="L462" s="2">
        <f>SUM(Tabla1[[#This Row],[Serv. Culturales Derecho Hab Publ]:[Soci Comedores Pensionados Jubl]])</f>
        <v>579</v>
      </c>
    </row>
    <row r="463" spans="1:12" x14ac:dyDescent="0.3">
      <c r="A463" s="2">
        <v>2021</v>
      </c>
      <c r="B463" t="s">
        <v>9</v>
      </c>
      <c r="C463" s="2">
        <v>0</v>
      </c>
      <c r="D463" s="2">
        <v>286</v>
      </c>
      <c r="E463" s="2">
        <v>0</v>
      </c>
      <c r="F463" s="2">
        <v>79</v>
      </c>
      <c r="G463" s="2">
        <v>20</v>
      </c>
      <c r="H463" s="2">
        <v>178</v>
      </c>
      <c r="I463" s="2">
        <v>0</v>
      </c>
      <c r="J463" s="2">
        <v>0</v>
      </c>
      <c r="K463" s="1">
        <v>44197</v>
      </c>
      <c r="L463" s="2">
        <f>SUM(Tabla1[[#This Row],[Serv. Culturales Derecho Hab Publ]:[Soci Comedores Pensionados Jubl]])</f>
        <v>563</v>
      </c>
    </row>
    <row r="464" spans="1:12" x14ac:dyDescent="0.3">
      <c r="A464" s="2">
        <v>2025</v>
      </c>
      <c r="B464" t="s">
        <v>51</v>
      </c>
      <c r="C464" s="2">
        <v>27</v>
      </c>
      <c r="D464" s="2">
        <v>87</v>
      </c>
      <c r="E464" s="2">
        <v>24</v>
      </c>
      <c r="F464" s="2">
        <v>78</v>
      </c>
      <c r="G464" s="2">
        <v>183</v>
      </c>
      <c r="H464" s="2">
        <v>107</v>
      </c>
      <c r="I464" s="2">
        <v>47</v>
      </c>
      <c r="J464" s="2">
        <v>0</v>
      </c>
      <c r="K464" s="1">
        <v>45658</v>
      </c>
      <c r="L464" s="2">
        <f>SUM(Tabla1[[#This Row],[Serv. Culturales Derecho Hab Publ]:[Soci Comedores Pensionados Jubl]])</f>
        <v>553</v>
      </c>
    </row>
    <row r="465" spans="1:12" x14ac:dyDescent="0.3">
      <c r="A465" s="2">
        <v>2025</v>
      </c>
      <c r="B465" t="s">
        <v>13</v>
      </c>
      <c r="C465" s="2">
        <v>264</v>
      </c>
      <c r="D465" s="2">
        <v>166</v>
      </c>
      <c r="E465" s="2">
        <v>0</v>
      </c>
      <c r="F465" s="2">
        <v>0</v>
      </c>
      <c r="G465" s="2">
        <v>65</v>
      </c>
      <c r="H465" s="2">
        <v>50</v>
      </c>
      <c r="I465" s="2">
        <v>0</v>
      </c>
      <c r="J465" s="2">
        <v>0</v>
      </c>
      <c r="K465" s="1">
        <v>45658</v>
      </c>
      <c r="L465" s="2">
        <f>SUM(Tabla1[[#This Row],[Serv. Culturales Derecho Hab Publ]:[Soci Comedores Pensionados Jubl]])</f>
        <v>545</v>
      </c>
    </row>
    <row r="466" spans="1:12" x14ac:dyDescent="0.3">
      <c r="A466" s="2">
        <v>2021</v>
      </c>
      <c r="B466" t="s">
        <v>32</v>
      </c>
      <c r="C466" s="2">
        <v>79</v>
      </c>
      <c r="D466" s="2">
        <v>184</v>
      </c>
      <c r="E466" s="2">
        <v>0</v>
      </c>
      <c r="F466" s="2">
        <v>51</v>
      </c>
      <c r="G466" s="2">
        <v>145</v>
      </c>
      <c r="H466" s="2">
        <v>67</v>
      </c>
      <c r="I466" s="2">
        <v>0</v>
      </c>
      <c r="J466" s="2">
        <v>0</v>
      </c>
      <c r="K466" s="1">
        <v>44197</v>
      </c>
      <c r="L466" s="2">
        <f>SUM(Tabla1[[#This Row],[Serv. Culturales Derecho Hab Publ]:[Soci Comedores Pensionados Jubl]])</f>
        <v>526</v>
      </c>
    </row>
    <row r="467" spans="1:12" x14ac:dyDescent="0.3">
      <c r="A467" s="2">
        <v>2023</v>
      </c>
      <c r="B467" t="s">
        <v>33</v>
      </c>
      <c r="C467" s="2">
        <v>67</v>
      </c>
      <c r="D467" s="2">
        <v>47</v>
      </c>
      <c r="E467" s="2">
        <v>73</v>
      </c>
      <c r="F467" s="2">
        <v>45</v>
      </c>
      <c r="G467" s="2">
        <v>237</v>
      </c>
      <c r="H467" s="2">
        <v>3</v>
      </c>
      <c r="I467" s="2">
        <v>41</v>
      </c>
      <c r="J467" s="2">
        <v>0</v>
      </c>
      <c r="K467" s="1">
        <v>44927</v>
      </c>
      <c r="L467" s="2">
        <f>SUM(Tabla1[[#This Row],[Serv. Culturales Derecho Hab Publ]:[Soci Comedores Pensionados Jubl]])</f>
        <v>513</v>
      </c>
    </row>
    <row r="468" spans="1:12" x14ac:dyDescent="0.3">
      <c r="A468" s="2">
        <v>2025</v>
      </c>
      <c r="B468" t="s">
        <v>4</v>
      </c>
      <c r="C468" s="2">
        <v>110</v>
      </c>
      <c r="D468" s="2">
        <v>109</v>
      </c>
      <c r="E468" s="2">
        <v>0</v>
      </c>
      <c r="F468" s="2">
        <v>0</v>
      </c>
      <c r="G468" s="2">
        <v>207</v>
      </c>
      <c r="H468" s="2">
        <v>81</v>
      </c>
      <c r="I468" s="2">
        <v>0</v>
      </c>
      <c r="J468" s="2">
        <v>0</v>
      </c>
      <c r="K468" s="1">
        <v>45658</v>
      </c>
      <c r="L468" s="2">
        <f>SUM(Tabla1[[#This Row],[Serv. Culturales Derecho Hab Publ]:[Soci Comedores Pensionados Jubl]])</f>
        <v>507</v>
      </c>
    </row>
    <row r="469" spans="1:12" x14ac:dyDescent="0.3">
      <c r="A469" s="2">
        <v>2025</v>
      </c>
      <c r="B469" t="s">
        <v>16</v>
      </c>
      <c r="C469" s="2">
        <v>39</v>
      </c>
      <c r="D469" s="2">
        <v>177</v>
      </c>
      <c r="E469" s="2">
        <v>0</v>
      </c>
      <c r="F469" s="2">
        <v>37</v>
      </c>
      <c r="G469" s="2">
        <v>187</v>
      </c>
      <c r="H469" s="2">
        <v>37</v>
      </c>
      <c r="I469" s="2">
        <v>29</v>
      </c>
      <c r="J469" s="2">
        <v>0</v>
      </c>
      <c r="K469" s="1">
        <v>45658</v>
      </c>
      <c r="L469" s="2">
        <f>SUM(Tabla1[[#This Row],[Serv. Culturales Derecho Hab Publ]:[Soci Comedores Pensionados Jubl]])</f>
        <v>506</v>
      </c>
    </row>
    <row r="470" spans="1:12" x14ac:dyDescent="0.3">
      <c r="A470" s="2">
        <v>2021</v>
      </c>
      <c r="B470" t="s">
        <v>0</v>
      </c>
      <c r="C470" s="2">
        <v>43</v>
      </c>
      <c r="D470" s="2">
        <v>386</v>
      </c>
      <c r="E470" s="2">
        <v>0</v>
      </c>
      <c r="F470" s="2">
        <v>16</v>
      </c>
      <c r="G470" s="2">
        <v>1</v>
      </c>
      <c r="H470" s="2">
        <v>40</v>
      </c>
      <c r="I470" s="2">
        <v>0</v>
      </c>
      <c r="J470" s="2">
        <v>0</v>
      </c>
      <c r="K470" s="1">
        <v>44197</v>
      </c>
      <c r="L470" s="2">
        <f>SUM(Tabla1[[#This Row],[Serv. Culturales Derecho Hab Publ]:[Soci Comedores Pensionados Jubl]])</f>
        <v>486</v>
      </c>
    </row>
    <row r="471" spans="1:12" x14ac:dyDescent="0.3">
      <c r="A471" s="2">
        <v>2025</v>
      </c>
      <c r="B471" t="s">
        <v>11</v>
      </c>
      <c r="C471" s="2">
        <v>59</v>
      </c>
      <c r="D471" s="2">
        <v>151</v>
      </c>
      <c r="E471" s="2">
        <v>0</v>
      </c>
      <c r="F471" s="2">
        <v>31</v>
      </c>
      <c r="G471" s="2">
        <v>157</v>
      </c>
      <c r="H471" s="2">
        <v>57</v>
      </c>
      <c r="I471" s="2">
        <v>7</v>
      </c>
      <c r="J471" s="2">
        <v>0</v>
      </c>
      <c r="K471" s="1">
        <v>45658</v>
      </c>
      <c r="L471" s="2">
        <f>SUM(Tabla1[[#This Row],[Serv. Culturales Derecho Hab Publ]:[Soci Comedores Pensionados Jubl]])</f>
        <v>462</v>
      </c>
    </row>
    <row r="472" spans="1:12" x14ac:dyDescent="0.3">
      <c r="A472" s="2">
        <v>2025</v>
      </c>
      <c r="B472" t="s">
        <v>49</v>
      </c>
      <c r="C472" s="2">
        <v>33</v>
      </c>
      <c r="D472" s="2">
        <v>142</v>
      </c>
      <c r="E472" s="2">
        <v>39</v>
      </c>
      <c r="F472" s="2">
        <v>0</v>
      </c>
      <c r="G472" s="2">
        <v>66</v>
      </c>
      <c r="H472" s="2">
        <v>156</v>
      </c>
      <c r="I472" s="2">
        <v>26</v>
      </c>
      <c r="J472" s="2">
        <v>0</v>
      </c>
      <c r="K472" s="1">
        <v>45658</v>
      </c>
      <c r="L472" s="2">
        <f>SUM(Tabla1[[#This Row],[Serv. Culturales Derecho Hab Publ]:[Soci Comedores Pensionados Jubl]])</f>
        <v>462</v>
      </c>
    </row>
    <row r="473" spans="1:12" x14ac:dyDescent="0.3">
      <c r="A473" s="2">
        <v>2025</v>
      </c>
      <c r="B473" t="s">
        <v>7</v>
      </c>
      <c r="C473" s="2">
        <v>137</v>
      </c>
      <c r="D473" s="2">
        <v>159</v>
      </c>
      <c r="E473" s="2">
        <v>0</v>
      </c>
      <c r="F473" s="2">
        <v>0</v>
      </c>
      <c r="G473" s="2">
        <v>55</v>
      </c>
      <c r="H473" s="2">
        <v>89</v>
      </c>
      <c r="I473" s="2">
        <v>6</v>
      </c>
      <c r="J473" s="2">
        <v>0</v>
      </c>
      <c r="K473" s="1">
        <v>45658</v>
      </c>
      <c r="L473" s="2">
        <f>SUM(Tabla1[[#This Row],[Serv. Culturales Derecho Hab Publ]:[Soci Comedores Pensionados Jubl]])</f>
        <v>446</v>
      </c>
    </row>
    <row r="474" spans="1:12" x14ac:dyDescent="0.3">
      <c r="A474" s="2">
        <v>2022</v>
      </c>
      <c r="B474" t="s">
        <v>9</v>
      </c>
      <c r="C474" s="2">
        <v>41</v>
      </c>
      <c r="D474" s="2">
        <v>229</v>
      </c>
      <c r="E474" s="2">
        <v>2</v>
      </c>
      <c r="F474" s="2">
        <v>0</v>
      </c>
      <c r="G474" s="2">
        <v>2</v>
      </c>
      <c r="H474" s="2">
        <v>159</v>
      </c>
      <c r="I474" s="2">
        <v>0</v>
      </c>
      <c r="J474" s="2">
        <v>0</v>
      </c>
      <c r="K474" s="1">
        <v>44562</v>
      </c>
      <c r="L474" s="2">
        <f>SUM(Tabla1[[#This Row],[Serv. Culturales Derecho Hab Publ]:[Soci Comedores Pensionados Jubl]])</f>
        <v>433</v>
      </c>
    </row>
    <row r="475" spans="1:12" x14ac:dyDescent="0.3">
      <c r="A475" s="2">
        <v>2023</v>
      </c>
      <c r="B475" t="s">
        <v>18</v>
      </c>
      <c r="C475" s="2">
        <v>52</v>
      </c>
      <c r="D475" s="2">
        <v>37</v>
      </c>
      <c r="E475" s="2">
        <v>0</v>
      </c>
      <c r="F475" s="2">
        <v>0</v>
      </c>
      <c r="G475" s="2">
        <v>119</v>
      </c>
      <c r="H475" s="2">
        <v>114</v>
      </c>
      <c r="I475" s="2">
        <v>110</v>
      </c>
      <c r="J475" s="2">
        <v>0</v>
      </c>
      <c r="K475" s="1">
        <v>44927</v>
      </c>
      <c r="L475" s="2">
        <f>SUM(Tabla1[[#This Row],[Serv. Culturales Derecho Hab Publ]:[Soci Comedores Pensionados Jubl]])</f>
        <v>432</v>
      </c>
    </row>
    <row r="476" spans="1:12" x14ac:dyDescent="0.3">
      <c r="A476" s="2">
        <v>2025</v>
      </c>
      <c r="B476" t="s">
        <v>33</v>
      </c>
      <c r="C476" s="2">
        <v>85</v>
      </c>
      <c r="D476" s="2">
        <v>99</v>
      </c>
      <c r="E476" s="2">
        <v>50</v>
      </c>
      <c r="F476" s="2">
        <v>36</v>
      </c>
      <c r="G476" s="2">
        <v>75</v>
      </c>
      <c r="H476" s="2">
        <v>7</v>
      </c>
      <c r="I476" s="2">
        <v>54</v>
      </c>
      <c r="J476" s="2">
        <v>0</v>
      </c>
      <c r="K476" s="1">
        <v>45658</v>
      </c>
      <c r="L476" s="2">
        <f>SUM(Tabla1[[#This Row],[Serv. Culturales Derecho Hab Publ]:[Soci Comedores Pensionados Jubl]])</f>
        <v>406</v>
      </c>
    </row>
    <row r="477" spans="1:12" x14ac:dyDescent="0.3">
      <c r="A477" s="2">
        <v>2023</v>
      </c>
      <c r="B477" t="s">
        <v>9</v>
      </c>
      <c r="C477" s="2">
        <v>50</v>
      </c>
      <c r="D477" s="2">
        <v>151</v>
      </c>
      <c r="E477" s="2">
        <v>0</v>
      </c>
      <c r="F477" s="2">
        <v>0</v>
      </c>
      <c r="G477" s="2">
        <v>20</v>
      </c>
      <c r="H477" s="2">
        <v>155</v>
      </c>
      <c r="I477" s="2">
        <v>24</v>
      </c>
      <c r="J477" s="2">
        <v>0</v>
      </c>
      <c r="K477" s="1">
        <v>44927</v>
      </c>
      <c r="L477" s="2">
        <f>SUM(Tabla1[[#This Row],[Serv. Culturales Derecho Hab Publ]:[Soci Comedores Pensionados Jubl]])</f>
        <v>400</v>
      </c>
    </row>
    <row r="478" spans="1:12" x14ac:dyDescent="0.3">
      <c r="A478" s="2">
        <v>2025</v>
      </c>
      <c r="B478" t="s">
        <v>3</v>
      </c>
      <c r="C478" s="2">
        <v>89</v>
      </c>
      <c r="D478" s="2">
        <v>94</v>
      </c>
      <c r="E478" s="2">
        <v>0</v>
      </c>
      <c r="F478" s="2">
        <v>0</v>
      </c>
      <c r="G478" s="2">
        <v>215</v>
      </c>
      <c r="H478" s="2">
        <v>0</v>
      </c>
      <c r="I478" s="2">
        <v>0</v>
      </c>
      <c r="J478" s="2">
        <v>0</v>
      </c>
      <c r="K478" s="1">
        <v>45658</v>
      </c>
      <c r="L478" s="2">
        <f>SUM(Tabla1[[#This Row],[Serv. Culturales Derecho Hab Publ]:[Soci Comedores Pensionados Jubl]])</f>
        <v>398</v>
      </c>
    </row>
    <row r="479" spans="1:12" x14ac:dyDescent="0.3">
      <c r="A479" s="2">
        <v>2025</v>
      </c>
      <c r="B479" t="s">
        <v>18</v>
      </c>
      <c r="C479" s="2">
        <v>14</v>
      </c>
      <c r="D479" s="2">
        <v>151</v>
      </c>
      <c r="E479" s="2">
        <v>0</v>
      </c>
      <c r="F479" s="2">
        <v>0</v>
      </c>
      <c r="G479" s="2">
        <v>56</v>
      </c>
      <c r="H479" s="2">
        <v>136</v>
      </c>
      <c r="I479" s="2">
        <v>25</v>
      </c>
      <c r="J479" s="2">
        <v>0</v>
      </c>
      <c r="K479" s="1">
        <v>45658</v>
      </c>
      <c r="L479" s="2">
        <f>SUM(Tabla1[[#This Row],[Serv. Culturales Derecho Hab Publ]:[Soci Comedores Pensionados Jubl]])</f>
        <v>382</v>
      </c>
    </row>
    <row r="480" spans="1:12" x14ac:dyDescent="0.3">
      <c r="A480" s="2">
        <v>2025</v>
      </c>
      <c r="B480" t="s">
        <v>21</v>
      </c>
      <c r="C480" s="2">
        <v>84</v>
      </c>
      <c r="D480" s="2">
        <v>86</v>
      </c>
      <c r="E480" s="2">
        <v>1</v>
      </c>
      <c r="F480" s="2">
        <v>0</v>
      </c>
      <c r="G480" s="2">
        <v>30</v>
      </c>
      <c r="H480" s="2">
        <v>44</v>
      </c>
      <c r="I480" s="2">
        <v>20</v>
      </c>
      <c r="J480" s="2">
        <v>0</v>
      </c>
      <c r="K480" s="1">
        <v>45658</v>
      </c>
      <c r="L480" s="2">
        <f>SUM(Tabla1[[#This Row],[Serv. Culturales Derecho Hab Publ]:[Soci Comedores Pensionados Jubl]])</f>
        <v>265</v>
      </c>
    </row>
    <row r="481" spans="1:12" x14ac:dyDescent="0.3">
      <c r="A481" s="2">
        <v>2025</v>
      </c>
      <c r="B481" t="s">
        <v>8</v>
      </c>
      <c r="C481" s="2">
        <v>48</v>
      </c>
      <c r="D481" s="2">
        <v>85</v>
      </c>
      <c r="E481" s="2">
        <v>0</v>
      </c>
      <c r="F481" s="2">
        <v>0</v>
      </c>
      <c r="G481" s="2">
        <v>18</v>
      </c>
      <c r="H481" s="2">
        <v>23</v>
      </c>
      <c r="I481" s="2">
        <v>0</v>
      </c>
      <c r="J481" s="2">
        <v>0</v>
      </c>
      <c r="K481" s="1">
        <v>45658</v>
      </c>
      <c r="L481" s="2">
        <f>SUM(Tabla1[[#This Row],[Serv. Culturales Derecho Hab Publ]:[Soci Comedores Pensionados Jubl]])</f>
        <v>174</v>
      </c>
    </row>
    <row r="482" spans="1:12" x14ac:dyDescent="0.3">
      <c r="A482" s="2">
        <v>2022</v>
      </c>
      <c r="B482" t="s">
        <v>18</v>
      </c>
      <c r="C482" s="2">
        <v>46</v>
      </c>
      <c r="D482" s="2">
        <v>4</v>
      </c>
      <c r="E482" s="2">
        <v>23</v>
      </c>
      <c r="F482" s="2">
        <v>0</v>
      </c>
      <c r="G482" s="2">
        <v>30</v>
      </c>
      <c r="H482" s="2">
        <v>39</v>
      </c>
      <c r="I482" s="2">
        <v>29</v>
      </c>
      <c r="J482" s="2">
        <v>0</v>
      </c>
      <c r="K482" s="1">
        <v>44562</v>
      </c>
      <c r="L482" s="2">
        <f>SUM(Tabla1[[#This Row],[Serv. Culturales Derecho Hab Publ]:[Soci Comedores Pensionados Jubl]])</f>
        <v>171</v>
      </c>
    </row>
    <row r="483" spans="1:12" x14ac:dyDescent="0.3">
      <c r="A483" s="2">
        <v>2024</v>
      </c>
      <c r="B483" t="s">
        <v>20</v>
      </c>
      <c r="C483" s="2">
        <v>88</v>
      </c>
      <c r="D483" s="2">
        <v>39</v>
      </c>
      <c r="E483" s="2">
        <v>0</v>
      </c>
      <c r="F483" s="2">
        <v>0</v>
      </c>
      <c r="G483" s="2">
        <v>2</v>
      </c>
      <c r="H483" s="2">
        <v>0</v>
      </c>
      <c r="I483" s="2">
        <v>1</v>
      </c>
      <c r="J483" s="2">
        <v>0</v>
      </c>
      <c r="K483" s="1">
        <v>45292</v>
      </c>
      <c r="L483" s="2">
        <f>SUM(Tabla1[[#This Row],[Serv. Culturales Derecho Hab Publ]:[Soci Comedores Pensionados Jubl]])</f>
        <v>130</v>
      </c>
    </row>
    <row r="484" spans="1:12" x14ac:dyDescent="0.3">
      <c r="A484" s="2">
        <v>2023</v>
      </c>
      <c r="B484" t="s">
        <v>20</v>
      </c>
      <c r="C484" s="2">
        <v>91</v>
      </c>
      <c r="D484" s="2">
        <v>12</v>
      </c>
      <c r="E484" s="2">
        <v>0</v>
      </c>
      <c r="F484" s="2">
        <v>0</v>
      </c>
      <c r="G484" s="2">
        <v>3</v>
      </c>
      <c r="H484" s="2">
        <v>2</v>
      </c>
      <c r="I484" s="2">
        <v>2</v>
      </c>
      <c r="J484" s="2">
        <v>0</v>
      </c>
      <c r="K484" s="1">
        <v>44927</v>
      </c>
      <c r="L484" s="2">
        <f>SUM(Tabla1[[#This Row],[Serv. Culturales Derecho Hab Publ]:[Soci Comedores Pensionados Jubl]])</f>
        <v>110</v>
      </c>
    </row>
    <row r="485" spans="1:12" x14ac:dyDescent="0.3">
      <c r="A485" s="2">
        <v>2022</v>
      </c>
      <c r="B485" t="s">
        <v>20</v>
      </c>
      <c r="C485" s="2">
        <v>61</v>
      </c>
      <c r="D485" s="2">
        <v>16</v>
      </c>
      <c r="E485" s="2">
        <v>0</v>
      </c>
      <c r="F485" s="2">
        <v>12</v>
      </c>
      <c r="G485" s="2">
        <v>1</v>
      </c>
      <c r="H485" s="2">
        <v>5</v>
      </c>
      <c r="I485" s="2">
        <v>4</v>
      </c>
      <c r="J485" s="2">
        <v>0</v>
      </c>
      <c r="K485" s="1">
        <v>44562</v>
      </c>
      <c r="L485" s="2">
        <f>SUM(Tabla1[[#This Row],[Serv. Culturales Derecho Hab Publ]:[Soci Comedores Pensionados Jubl]])</f>
        <v>99</v>
      </c>
    </row>
    <row r="486" spans="1:12" x14ac:dyDescent="0.3">
      <c r="A486" s="2">
        <v>2025</v>
      </c>
      <c r="B486" t="s">
        <v>24</v>
      </c>
      <c r="C486" s="2">
        <v>29</v>
      </c>
      <c r="D486" s="2">
        <v>58</v>
      </c>
      <c r="E486" s="2">
        <v>0</v>
      </c>
      <c r="F486" s="2">
        <v>3</v>
      </c>
      <c r="G486" s="2">
        <v>0</v>
      </c>
      <c r="H486" s="2">
        <v>0</v>
      </c>
      <c r="I486" s="2">
        <v>8</v>
      </c>
      <c r="J486" s="2">
        <v>0</v>
      </c>
      <c r="K486" s="1">
        <v>45658</v>
      </c>
      <c r="L486" s="2">
        <f>SUM(Tabla1[[#This Row],[Serv. Culturales Derecho Hab Publ]:[Soci Comedores Pensionados Jubl]])</f>
        <v>98</v>
      </c>
    </row>
    <row r="487" spans="1:12" x14ac:dyDescent="0.3">
      <c r="A487" s="2">
        <v>2025</v>
      </c>
      <c r="B487" t="s">
        <v>20</v>
      </c>
      <c r="C487" s="2">
        <v>57</v>
      </c>
      <c r="D487" s="2">
        <v>3</v>
      </c>
      <c r="E487" s="2">
        <v>0</v>
      </c>
      <c r="F487" s="2">
        <v>0</v>
      </c>
      <c r="G487" s="2">
        <v>8</v>
      </c>
      <c r="H487" s="2">
        <v>0</v>
      </c>
      <c r="I487" s="2">
        <v>0</v>
      </c>
      <c r="J487" s="2">
        <v>0</v>
      </c>
      <c r="K487" s="1">
        <v>45658</v>
      </c>
      <c r="L487" s="2">
        <f>SUM(Tabla1[[#This Row],[Serv. Culturales Derecho Hab Publ]:[Soci Comedores Pensionados Jubl]])</f>
        <v>68</v>
      </c>
    </row>
    <row r="488" spans="1:12" x14ac:dyDescent="0.3">
      <c r="A488" s="2">
        <v>2025</v>
      </c>
      <c r="B488" t="s">
        <v>1</v>
      </c>
      <c r="C488" s="2">
        <v>13</v>
      </c>
      <c r="D488" s="2">
        <v>36</v>
      </c>
      <c r="E488" s="2">
        <v>0</v>
      </c>
      <c r="F488" s="2">
        <v>0</v>
      </c>
      <c r="G488" s="2">
        <v>10</v>
      </c>
      <c r="H488" s="2">
        <v>5</v>
      </c>
      <c r="I488" s="2">
        <v>0</v>
      </c>
      <c r="J488" s="2">
        <v>0</v>
      </c>
      <c r="K488" s="1">
        <v>45658</v>
      </c>
      <c r="L488" s="2">
        <f>SUM(Tabla1[[#This Row],[Serv. Culturales Derecho Hab Publ]:[Soci Comedores Pensionados Jubl]])</f>
        <v>64</v>
      </c>
    </row>
    <row r="489" spans="1:12" x14ac:dyDescent="0.3">
      <c r="A489" s="2">
        <v>2021</v>
      </c>
      <c r="B489" t="s">
        <v>33</v>
      </c>
      <c r="C489" s="2">
        <v>9</v>
      </c>
      <c r="D489" s="2">
        <v>4</v>
      </c>
      <c r="E489" s="2">
        <v>12</v>
      </c>
      <c r="F489" s="2">
        <v>1</v>
      </c>
      <c r="G489" s="2">
        <v>23</v>
      </c>
      <c r="H489" s="2">
        <v>0</v>
      </c>
      <c r="I489" s="2">
        <v>1</v>
      </c>
      <c r="J489" s="2">
        <v>0</v>
      </c>
      <c r="K489" s="1">
        <v>44197</v>
      </c>
      <c r="L489" s="2">
        <f>SUM(Tabla1[[#This Row],[Serv. Culturales Derecho Hab Publ]:[Soci Comedores Pensionados Jubl]])</f>
        <v>50</v>
      </c>
    </row>
    <row r="490" spans="1:12" x14ac:dyDescent="0.3">
      <c r="A490" s="2">
        <v>2021</v>
      </c>
      <c r="B490" t="s">
        <v>20</v>
      </c>
      <c r="C490" s="2">
        <v>19</v>
      </c>
      <c r="D490" s="2">
        <v>4</v>
      </c>
      <c r="E490" s="2">
        <v>0</v>
      </c>
      <c r="F490" s="2">
        <v>2</v>
      </c>
      <c r="G490" s="2">
        <v>0</v>
      </c>
      <c r="H490" s="2">
        <v>0</v>
      </c>
      <c r="I490" s="2">
        <v>0</v>
      </c>
      <c r="J490" s="2">
        <v>0</v>
      </c>
      <c r="K490" s="1">
        <v>44197</v>
      </c>
      <c r="L490" s="2">
        <f>SUM(Tabla1[[#This Row],[Serv. Culturales Derecho Hab Publ]:[Soci Comedores Pensionados Jubl]])</f>
        <v>25</v>
      </c>
    </row>
    <row r="491" spans="1:12" x14ac:dyDescent="0.3">
      <c r="A491" s="2">
        <v>2020</v>
      </c>
      <c r="B491" t="s">
        <v>31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1">
        <v>43831</v>
      </c>
      <c r="L491" s="2">
        <f>SUM(Tabla1[[#This Row],[Serv. Culturales Derecho Hab Publ]:[Soci Comedores Pensionados Jubl]])</f>
        <v>0</v>
      </c>
    </row>
    <row r="492" spans="1:12" x14ac:dyDescent="0.3">
      <c r="A492" s="2">
        <v>2021</v>
      </c>
      <c r="B492" t="s">
        <v>18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1">
        <v>44197</v>
      </c>
      <c r="L492" s="2">
        <f>SUM(Tabla1[[#This Row],[Serv. Culturales Derecho Hab Publ]:[Soci Comedores Pensionados Jubl]])</f>
        <v>0</v>
      </c>
    </row>
    <row r="493" spans="1:12" x14ac:dyDescent="0.3">
      <c r="A493" s="2">
        <v>2021</v>
      </c>
      <c r="B493" t="s">
        <v>31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1">
        <v>44197</v>
      </c>
      <c r="L493" s="2">
        <f>SUM(Tabla1[[#This Row],[Serv. Culturales Derecho Hab Publ]:[Soci Comedores Pensionados Jubl]])</f>
        <v>0</v>
      </c>
    </row>
    <row r="494" spans="1:12" x14ac:dyDescent="0.3">
      <c r="A494" s="2">
        <v>2025</v>
      </c>
      <c r="B494" t="s">
        <v>17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1">
        <v>45658</v>
      </c>
      <c r="L494" s="2">
        <f>SUM(Tabla1[[#This Row],[Serv. Culturales Derecho Hab Publ]:[Soci Comedores Pensionados Jubl]])</f>
        <v>0</v>
      </c>
    </row>
    <row r="495" spans="1:12" x14ac:dyDescent="0.3">
      <c r="A495" s="2">
        <v>2025</v>
      </c>
      <c r="B495" t="s">
        <v>25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1">
        <v>45658</v>
      </c>
      <c r="L495" s="2">
        <f>SUM(Tabla1[[#This Row],[Serv. Culturales Derecho Hab Publ]:[Soci Comedores Pensionados Jubl]])</f>
        <v>0</v>
      </c>
    </row>
    <row r="496" spans="1:12" x14ac:dyDescent="0.3">
      <c r="F496" s="2"/>
      <c r="J496" s="2"/>
      <c r="L496" s="2"/>
    </row>
    <row r="497" spans="2:12" x14ac:dyDescent="0.3">
      <c r="F497" s="2"/>
      <c r="J497" s="2"/>
      <c r="L497" s="2"/>
    </row>
    <row r="498" spans="2:12" x14ac:dyDescent="0.3">
      <c r="C498" s="2" t="str">
        <f>Tabla1[[#Headers],[Serv. Culturales Derecho Hab Publ]]</f>
        <v>Serv. Culturales Derecho Hab Publ</v>
      </c>
      <c r="D498" s="2" t="str">
        <f>Tabla1[[#Headers],[Serv. Deportivos Derecho Hab Publ]]</f>
        <v>Serv. Deportivos Derecho Hab Publ</v>
      </c>
      <c r="E498" s="2" t="str">
        <f>Tabla1[[#Headers],[Serv. Sociales Derecho Hab Publ]]</f>
        <v>Serv. Sociales Derecho Hab Publ</v>
      </c>
      <c r="F498" s="2" t="str">
        <f>Tabla1[[#Headers],[Serv. Funerarios Derecho Hab Publ]]</f>
        <v>Serv. Funerarios Derecho Hab Publ</v>
      </c>
      <c r="G498" s="2" t="str">
        <f>Tabla1[[#Headers],[Serv. Sociales Pensionados Jubl]]</f>
        <v>Serv. Sociales Pensionados Jubl</v>
      </c>
      <c r="H498" s="2" t="str">
        <f>Tabla1[[#Headers],[Fome Deportivo Pensionados Jubl]]</f>
        <v>Fome Deportivo Pensionados Jubl</v>
      </c>
      <c r="I498" s="2" t="str">
        <f>Tabla1[[#Headers],[Serv. Culturales Pensionados Jubl]]</f>
        <v>Serv. Culturales Pensionados Jubl</v>
      </c>
      <c r="J498" s="2" t="str">
        <f>Tabla1[[#Headers],[Soci Comedores Pensionados Jubl]]</f>
        <v>Soci Comedores Pensionados Jubl</v>
      </c>
    </row>
    <row r="499" spans="2:12" x14ac:dyDescent="0.3">
      <c r="B499" t="s">
        <v>81</v>
      </c>
      <c r="C499" s="2">
        <f>SUM(Tabla1[Serv. Culturales Derecho Hab Publ])</f>
        <v>36375442</v>
      </c>
      <c r="D499" s="2">
        <f>SUM(Tabla1[Serv. Deportivos Derecho Hab Publ])</f>
        <v>11512451</v>
      </c>
      <c r="E499" s="2">
        <f>SUM(Tabla1[Serv. Sociales Derecho Hab Publ])</f>
        <v>661401</v>
      </c>
      <c r="F499" s="2">
        <f>SUM(Tabla1[Serv. Funerarios Derecho Hab Publ])</f>
        <v>322484</v>
      </c>
      <c r="G499" s="2">
        <f>SUM(Tabla1[Serv. Sociales Pensionados Jubl])</f>
        <v>2175717</v>
      </c>
      <c r="H499" s="2">
        <f>SUM(Tabla1[Fome Deportivo Pensionados Jubl])</f>
        <v>1962313</v>
      </c>
      <c r="I499" s="2">
        <f>SUM(Tabla1[Serv. Culturales Pensionados Jubl])</f>
        <v>3250887</v>
      </c>
      <c r="J499" s="2">
        <f>SUM(Tabla1[Soci Comedores Pensionados Jubl])</f>
        <v>654994</v>
      </c>
    </row>
    <row r="505" spans="2:12" x14ac:dyDescent="0.3">
      <c r="B505" t="s">
        <v>82</v>
      </c>
      <c r="C505" s="2" t="s">
        <v>83</v>
      </c>
    </row>
    <row r="506" spans="2:12" x14ac:dyDescent="0.3">
      <c r="B506" s="2" t="str">
        <f>Tabla1[[#Headers],[Serv. Culturales Derecho Hab Publ]]</f>
        <v>Serv. Culturales Derecho Hab Publ</v>
      </c>
      <c r="C506" s="2">
        <f>SUM(Tabla1[Serv. Culturales Derecho Hab Publ])</f>
        <v>36375442</v>
      </c>
    </row>
    <row r="507" spans="2:12" x14ac:dyDescent="0.3">
      <c r="B507" s="2" t="str">
        <f>Tabla1[[#Headers],[Serv. Deportivos Derecho Hab Publ]]</f>
        <v>Serv. Deportivos Derecho Hab Publ</v>
      </c>
      <c r="C507" s="2">
        <f>SUM(Tabla1[Serv. Deportivos Derecho Hab Publ])</f>
        <v>11512451</v>
      </c>
    </row>
    <row r="508" spans="2:12" x14ac:dyDescent="0.3">
      <c r="B508" s="2" t="str">
        <f>Tabla1[[#Headers],[Serv. Sociales Derecho Hab Publ]]</f>
        <v>Serv. Sociales Derecho Hab Publ</v>
      </c>
      <c r="C508" s="2">
        <f>SUM(Tabla1[Serv. Sociales Derecho Hab Publ])</f>
        <v>661401</v>
      </c>
    </row>
    <row r="509" spans="2:12" x14ac:dyDescent="0.3">
      <c r="B509" s="2" t="str">
        <f>Tabla1[[#Headers],[Serv. Funerarios Derecho Hab Publ]]</f>
        <v>Serv. Funerarios Derecho Hab Publ</v>
      </c>
      <c r="C509" s="2">
        <f>SUM(Tabla1[Serv. Funerarios Derecho Hab Publ])</f>
        <v>322484</v>
      </c>
    </row>
    <row r="510" spans="2:12" x14ac:dyDescent="0.3">
      <c r="B510" s="2" t="str">
        <f>Tabla1[[#Headers],[Serv. Sociales Pensionados Jubl]]</f>
        <v>Serv. Sociales Pensionados Jubl</v>
      </c>
      <c r="C510" s="2">
        <f>SUM(Tabla1[Serv. Sociales Pensionados Jubl])</f>
        <v>2175717</v>
      </c>
    </row>
    <row r="511" spans="2:12" x14ac:dyDescent="0.3">
      <c r="B511" s="2" t="str">
        <f>Tabla1[[#Headers],[Fome Deportivo Pensionados Jubl]]</f>
        <v>Fome Deportivo Pensionados Jubl</v>
      </c>
      <c r="C511" s="2">
        <f>SUM(Tabla1[Fome Deportivo Pensionados Jubl])</f>
        <v>1962313</v>
      </c>
    </row>
    <row r="512" spans="2:12" x14ac:dyDescent="0.3">
      <c r="B512" s="2" t="str">
        <f>Tabla1[[#Headers],[Serv. Culturales Pensionados Jubl]]</f>
        <v>Serv. Culturales Pensionados Jubl</v>
      </c>
      <c r="C512" s="2">
        <f>SUM(Tabla1[Serv. Culturales Pensionados Jubl])</f>
        <v>3250887</v>
      </c>
    </row>
    <row r="513" spans="2:3" x14ac:dyDescent="0.3">
      <c r="B513" s="2" t="str">
        <f>Tabla1[[#Headers],[Soci Comedores Pensionados Jubl]]</f>
        <v>Soci Comedores Pensionados Jubl</v>
      </c>
      <c r="C513" s="2">
        <f>SUM(Tabla1[Soci Comedores Pensionados Jubl])</f>
        <v>654994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3DCE-1102-4670-B2C5-59B84C64109B}">
  <dimension ref="A2:F25"/>
  <sheetViews>
    <sheetView showGridLines="0" workbookViewId="0">
      <selection activeCell="I13" sqref="I13"/>
    </sheetView>
  </sheetViews>
  <sheetFormatPr baseColWidth="10" defaultRowHeight="14.4" x14ac:dyDescent="0.3"/>
  <cols>
    <col min="1" max="1" width="38.5546875" bestFit="1" customWidth="1"/>
    <col min="2" max="2" width="30.21875" bestFit="1" customWidth="1"/>
    <col min="3" max="3" width="13.88671875" bestFit="1" customWidth="1"/>
    <col min="4" max="4" width="13.109375" bestFit="1" customWidth="1"/>
    <col min="5" max="5" width="19" bestFit="1" customWidth="1"/>
    <col min="6" max="6" width="17" bestFit="1" customWidth="1"/>
    <col min="7" max="7" width="9.88671875" bestFit="1" customWidth="1"/>
    <col min="8" max="8" width="7.5546875" bestFit="1" customWidth="1"/>
    <col min="9" max="9" width="10.109375" bestFit="1" customWidth="1"/>
    <col min="10" max="10" width="8.33203125" bestFit="1" customWidth="1"/>
    <col min="11" max="11" width="7" bestFit="1" customWidth="1"/>
    <col min="12" max="12" width="15.6640625" bestFit="1" customWidth="1"/>
    <col min="13" max="13" width="11.44140625" bestFit="1" customWidth="1"/>
    <col min="14" max="14" width="15.44140625" bestFit="1" customWidth="1"/>
    <col min="15" max="15" width="17" bestFit="1" customWidth="1"/>
    <col min="16" max="16" width="18.33203125" bestFit="1" customWidth="1"/>
    <col min="17" max="17" width="13.44140625" bestFit="1" customWidth="1"/>
    <col min="18" max="18" width="8.21875" bestFit="1" customWidth="1"/>
    <col min="19" max="19" width="10.88671875" bestFit="1" customWidth="1"/>
    <col min="20" max="20" width="8.44140625" bestFit="1" customWidth="1"/>
    <col min="21" max="21" width="7.33203125" bestFit="1" customWidth="1"/>
    <col min="22" max="22" width="11.21875" bestFit="1" customWidth="1"/>
    <col min="23" max="23" width="7" bestFit="1" customWidth="1"/>
    <col min="24" max="24" width="7.109375" bestFit="1" customWidth="1"/>
    <col min="25" max="25" width="10.33203125" bestFit="1" customWidth="1"/>
    <col min="26" max="26" width="7.88671875" bestFit="1" customWidth="1"/>
    <col min="27" max="27" width="7.109375" bestFit="1" customWidth="1"/>
    <col min="28" max="28" width="11.109375" bestFit="1" customWidth="1"/>
    <col min="29" max="29" width="7.109375" bestFit="1" customWidth="1"/>
    <col min="30" max="30" width="15.88671875" bestFit="1" customWidth="1"/>
    <col min="31" max="31" width="7" bestFit="1" customWidth="1"/>
    <col min="32" max="32" width="9.5546875" bestFit="1" customWidth="1"/>
    <col min="33" max="33" width="12.5546875" bestFit="1" customWidth="1"/>
    <col min="34" max="34" width="13.44140625" bestFit="1" customWidth="1"/>
    <col min="35" max="35" width="14.88671875" bestFit="1" customWidth="1"/>
    <col min="36" max="36" width="16.33203125" bestFit="1" customWidth="1"/>
    <col min="37" max="37" width="11.44140625" bestFit="1" customWidth="1"/>
    <col min="38" max="38" width="13.44140625" bestFit="1" customWidth="1"/>
    <col min="39" max="39" width="7.109375" bestFit="1" customWidth="1"/>
    <col min="40" max="40" width="7" bestFit="1" customWidth="1"/>
    <col min="41" max="41" width="19.21875" bestFit="1" customWidth="1"/>
    <col min="42" max="42" width="20.6640625" bestFit="1" customWidth="1"/>
    <col min="43" max="43" width="22.109375" bestFit="1" customWidth="1"/>
    <col min="44" max="44" width="17.21875" bestFit="1" customWidth="1"/>
    <col min="45" max="45" width="7.88671875" bestFit="1" customWidth="1"/>
    <col min="46" max="46" width="10.5546875" bestFit="1" customWidth="1"/>
    <col min="47" max="47" width="7.6640625" bestFit="1" customWidth="1"/>
    <col min="48" max="48" width="8.33203125" bestFit="1" customWidth="1"/>
    <col min="49" max="49" width="7.77734375" bestFit="1" customWidth="1"/>
    <col min="50" max="50" width="9.21875" bestFit="1" customWidth="1"/>
    <col min="51" max="51" width="11.88671875" bestFit="1" customWidth="1"/>
  </cols>
  <sheetData>
    <row r="2" spans="1:3" ht="28.2" x14ac:dyDescent="0.5">
      <c r="A2" s="6" t="s">
        <v>73</v>
      </c>
      <c r="B2" s="6"/>
      <c r="C2" s="6"/>
    </row>
    <row r="6" spans="1:3" x14ac:dyDescent="0.3">
      <c r="A6" s="3" t="s">
        <v>61</v>
      </c>
      <c r="B6" s="3" t="s">
        <v>71</v>
      </c>
    </row>
    <row r="7" spans="1:3" x14ac:dyDescent="0.3">
      <c r="A7" s="3" t="s">
        <v>70</v>
      </c>
      <c r="B7" t="s">
        <v>10</v>
      </c>
    </row>
    <row r="8" spans="1:3" x14ac:dyDescent="0.3">
      <c r="A8" s="4">
        <v>2013</v>
      </c>
      <c r="B8" s="2">
        <v>79355</v>
      </c>
    </row>
    <row r="9" spans="1:3" x14ac:dyDescent="0.3">
      <c r="A9" s="4">
        <v>2014</v>
      </c>
      <c r="B9" s="2">
        <v>70442</v>
      </c>
    </row>
    <row r="10" spans="1:3" x14ac:dyDescent="0.3">
      <c r="A10" s="4">
        <v>2015</v>
      </c>
      <c r="B10" s="2">
        <v>71296</v>
      </c>
    </row>
    <row r="11" spans="1:3" x14ac:dyDescent="0.3">
      <c r="A11" s="4">
        <v>2016</v>
      </c>
      <c r="B11" s="2">
        <v>0</v>
      </c>
    </row>
    <row r="12" spans="1:3" x14ac:dyDescent="0.3">
      <c r="A12" s="4">
        <v>2017</v>
      </c>
      <c r="B12" s="2">
        <v>72504</v>
      </c>
    </row>
    <row r="13" spans="1:3" x14ac:dyDescent="0.3">
      <c r="A13" s="4">
        <v>2018</v>
      </c>
      <c r="B13" s="2">
        <v>72045</v>
      </c>
    </row>
    <row r="14" spans="1:3" x14ac:dyDescent="0.3">
      <c r="A14" s="4">
        <v>2019</v>
      </c>
      <c r="B14" s="2">
        <v>72759</v>
      </c>
    </row>
    <row r="15" spans="1:3" x14ac:dyDescent="0.3">
      <c r="A15" s="4">
        <v>2020</v>
      </c>
      <c r="B15" s="2">
        <v>15133</v>
      </c>
    </row>
    <row r="16" spans="1:3" x14ac:dyDescent="0.3">
      <c r="A16" s="4">
        <v>2021</v>
      </c>
      <c r="B16" s="2">
        <v>884</v>
      </c>
    </row>
    <row r="17" spans="1:6" x14ac:dyDescent="0.3">
      <c r="A17" s="4">
        <v>2022</v>
      </c>
      <c r="B17" s="2">
        <v>626</v>
      </c>
    </row>
    <row r="18" spans="1:6" x14ac:dyDescent="0.3">
      <c r="A18" s="4">
        <v>2023</v>
      </c>
      <c r="B18" s="2">
        <v>638</v>
      </c>
    </row>
    <row r="19" spans="1:6" x14ac:dyDescent="0.3">
      <c r="A19" s="4">
        <v>2024</v>
      </c>
      <c r="B19" s="2">
        <v>756</v>
      </c>
    </row>
    <row r="20" spans="1:6" x14ac:dyDescent="0.3">
      <c r="A20" s="4">
        <v>2025</v>
      </c>
      <c r="B20" s="2">
        <v>252</v>
      </c>
    </row>
    <row r="21" spans="1:6" x14ac:dyDescent="0.3">
      <c r="A21" s="4" t="s">
        <v>60</v>
      </c>
      <c r="B21" s="2">
        <v>456690</v>
      </c>
    </row>
    <row r="25" spans="1:6" ht="28.2" x14ac:dyDescent="0.5">
      <c r="B25" s="6" t="s">
        <v>74</v>
      </c>
      <c r="C25" s="6"/>
      <c r="D25" s="6"/>
      <c r="E25" s="6"/>
      <c r="F25" s="6"/>
    </row>
  </sheetData>
  <mergeCells count="2">
    <mergeCell ref="A2:C2"/>
    <mergeCell ref="B25:F2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1FC3-37E4-4473-BE72-831CFD6103DC}">
  <dimension ref="A2:I60"/>
  <sheetViews>
    <sheetView showGridLines="0" topLeftCell="A16" workbookViewId="0">
      <selection activeCell="A60" sqref="A60"/>
    </sheetView>
  </sheetViews>
  <sheetFormatPr baseColWidth="10" defaultRowHeight="14.4" x14ac:dyDescent="0.3"/>
  <cols>
    <col min="1" max="1" width="30.21875" bestFit="1" customWidth="1"/>
    <col min="2" max="2" width="37.77734375" bestFit="1" customWidth="1"/>
    <col min="3" max="3" width="38.5546875" bestFit="1" customWidth="1"/>
    <col min="4" max="4" width="36" bestFit="1" customWidth="1"/>
    <col min="5" max="5" width="38.21875" bestFit="1" customWidth="1"/>
    <col min="6" max="6" width="35.44140625" bestFit="1" customWidth="1"/>
    <col min="7" max="7" width="37.6640625" bestFit="1" customWidth="1"/>
    <col min="8" max="8" width="37.21875" bestFit="1" customWidth="1"/>
    <col min="9" max="9" width="37.6640625" bestFit="1" customWidth="1"/>
  </cols>
  <sheetData>
    <row r="2" spans="1:9" ht="28.2" x14ac:dyDescent="0.5">
      <c r="A2" s="6" t="s">
        <v>75</v>
      </c>
      <c r="B2" s="6"/>
      <c r="C2" s="6"/>
    </row>
    <row r="6" spans="1:9" x14ac:dyDescent="0.3">
      <c r="A6" s="3" t="s">
        <v>71</v>
      </c>
      <c r="B6" t="s">
        <v>62</v>
      </c>
      <c r="C6" t="s">
        <v>61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</row>
    <row r="7" spans="1:9" x14ac:dyDescent="0.3">
      <c r="A7" s="5" t="s">
        <v>10</v>
      </c>
      <c r="B7" s="2">
        <v>840418</v>
      </c>
      <c r="C7" s="2">
        <v>456690</v>
      </c>
      <c r="D7" s="2">
        <v>239</v>
      </c>
      <c r="E7" s="2">
        <v>1038</v>
      </c>
      <c r="F7" s="2">
        <v>22652</v>
      </c>
      <c r="G7" s="2">
        <v>19799</v>
      </c>
      <c r="H7" s="2">
        <v>55410</v>
      </c>
      <c r="I7" s="2">
        <v>0</v>
      </c>
    </row>
    <row r="60" spans="2:4" ht="28.2" x14ac:dyDescent="0.5">
      <c r="B60" s="6" t="s">
        <v>76</v>
      </c>
      <c r="C60" s="6"/>
      <c r="D60" s="6"/>
    </row>
  </sheetData>
  <mergeCells count="2">
    <mergeCell ref="A2:C2"/>
    <mergeCell ref="B60:D60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057B-2FFD-452E-9801-D0EF6EE0D059}">
  <dimension ref="A2:J83"/>
  <sheetViews>
    <sheetView showGridLines="0" topLeftCell="A7" workbookViewId="0">
      <selection activeCell="A29" sqref="A29"/>
    </sheetView>
  </sheetViews>
  <sheetFormatPr baseColWidth="10" defaultRowHeight="14.4" x14ac:dyDescent="0.3"/>
  <cols>
    <col min="1" max="1" width="21" bestFit="1" customWidth="1"/>
    <col min="2" max="2" width="32.33203125" bestFit="1" customWidth="1"/>
    <col min="3" max="3" width="13.88671875" customWidth="1"/>
    <col min="4" max="4" width="17" customWidth="1"/>
    <col min="5" max="5" width="10.109375" bestFit="1" customWidth="1"/>
    <col min="6" max="6" width="8.33203125" bestFit="1" customWidth="1"/>
    <col min="7" max="7" width="7" customWidth="1"/>
    <col min="8" max="8" width="15.6640625" bestFit="1" customWidth="1"/>
    <col min="9" max="9" width="11.44140625" bestFit="1" customWidth="1"/>
    <col min="10" max="10" width="15.44140625" bestFit="1" customWidth="1"/>
    <col min="11" max="11" width="17" bestFit="1" customWidth="1"/>
    <col min="12" max="12" width="18.33203125" bestFit="1" customWidth="1"/>
    <col min="13" max="13" width="13.44140625" bestFit="1" customWidth="1"/>
    <col min="14" max="14" width="8.21875" bestFit="1" customWidth="1"/>
    <col min="15" max="15" width="10.88671875" bestFit="1" customWidth="1"/>
    <col min="16" max="16" width="8.44140625" bestFit="1" customWidth="1"/>
    <col min="17" max="17" width="8" bestFit="1" customWidth="1"/>
    <col min="18" max="18" width="11.21875" bestFit="1" customWidth="1"/>
    <col min="19" max="19" width="7" bestFit="1" customWidth="1"/>
    <col min="20" max="20" width="8" bestFit="1" customWidth="1"/>
    <col min="21" max="21" width="10.33203125" bestFit="1" customWidth="1"/>
    <col min="22" max="22" width="7.88671875" bestFit="1" customWidth="1"/>
    <col min="23" max="23" width="7.109375" bestFit="1" customWidth="1"/>
    <col min="24" max="24" width="11.109375" bestFit="1" customWidth="1"/>
    <col min="25" max="25" width="8" bestFit="1" customWidth="1"/>
    <col min="26" max="26" width="15.88671875" bestFit="1" customWidth="1"/>
    <col min="27" max="27" width="7" bestFit="1" customWidth="1"/>
    <col min="28" max="28" width="9.5546875" bestFit="1" customWidth="1"/>
    <col min="29" max="29" width="12.5546875" bestFit="1" customWidth="1"/>
    <col min="30" max="30" width="13.44140625" bestFit="1" customWidth="1"/>
    <col min="31" max="31" width="14.88671875" bestFit="1" customWidth="1"/>
    <col min="32" max="32" width="16.33203125" bestFit="1" customWidth="1"/>
    <col min="33" max="33" width="11.44140625" bestFit="1" customWidth="1"/>
    <col min="34" max="34" width="13.44140625" bestFit="1" customWidth="1"/>
    <col min="35" max="35" width="7.109375" bestFit="1" customWidth="1"/>
    <col min="36" max="36" width="7" bestFit="1" customWidth="1"/>
    <col min="37" max="37" width="19.21875" bestFit="1" customWidth="1"/>
    <col min="38" max="38" width="20.6640625" bestFit="1" customWidth="1"/>
    <col min="39" max="39" width="22.109375" bestFit="1" customWidth="1"/>
    <col min="40" max="40" width="17.21875" bestFit="1" customWidth="1"/>
    <col min="41" max="41" width="8" bestFit="1" customWidth="1"/>
    <col min="42" max="42" width="10.5546875" bestFit="1" customWidth="1"/>
    <col min="43" max="43" width="8" bestFit="1" customWidth="1"/>
    <col min="44" max="44" width="8.33203125" bestFit="1" customWidth="1"/>
    <col min="45" max="45" width="8" bestFit="1" customWidth="1"/>
    <col min="46" max="46" width="9.21875" bestFit="1" customWidth="1"/>
    <col min="47" max="47" width="11.88671875" bestFit="1" customWidth="1"/>
    <col min="48" max="175" width="5" bestFit="1" customWidth="1"/>
    <col min="176" max="296" width="6" bestFit="1" customWidth="1"/>
    <col min="297" max="480" width="7" bestFit="1" customWidth="1"/>
    <col min="481" max="486" width="8" bestFit="1" customWidth="1"/>
    <col min="487" max="487" width="11.88671875" bestFit="1" customWidth="1"/>
    <col min="488" max="488" width="6" bestFit="1" customWidth="1"/>
    <col min="489" max="489" width="10.6640625" bestFit="1" customWidth="1"/>
    <col min="490" max="490" width="7" bestFit="1" customWidth="1"/>
    <col min="491" max="491" width="10.6640625" bestFit="1" customWidth="1"/>
    <col min="492" max="492" width="6" bestFit="1" customWidth="1"/>
    <col min="493" max="493" width="10.6640625" bestFit="1" customWidth="1"/>
    <col min="494" max="494" width="6" bestFit="1" customWidth="1"/>
    <col min="495" max="495" width="10.6640625" bestFit="1" customWidth="1"/>
    <col min="496" max="496" width="6" bestFit="1" customWidth="1"/>
    <col min="497" max="497" width="10.6640625" bestFit="1" customWidth="1"/>
    <col min="498" max="498" width="6" bestFit="1" customWidth="1"/>
    <col min="499" max="499" width="10.6640625" bestFit="1" customWidth="1"/>
    <col min="500" max="500" width="7" bestFit="1" customWidth="1"/>
    <col min="501" max="501" width="10.6640625" bestFit="1" customWidth="1"/>
    <col min="502" max="502" width="6" bestFit="1" customWidth="1"/>
    <col min="503" max="503" width="10.6640625" bestFit="1" customWidth="1"/>
    <col min="504" max="504" width="6" bestFit="1" customWidth="1"/>
    <col min="505" max="505" width="10.6640625" bestFit="1" customWidth="1"/>
    <col min="506" max="506" width="6" bestFit="1" customWidth="1"/>
    <col min="507" max="507" width="10.6640625" bestFit="1" customWidth="1"/>
    <col min="508" max="508" width="7" bestFit="1" customWidth="1"/>
    <col min="509" max="509" width="10.6640625" bestFit="1" customWidth="1"/>
    <col min="510" max="510" width="6" bestFit="1" customWidth="1"/>
    <col min="511" max="511" width="10.6640625" bestFit="1" customWidth="1"/>
    <col min="512" max="512" width="6" bestFit="1" customWidth="1"/>
    <col min="513" max="513" width="10.6640625" bestFit="1" customWidth="1"/>
    <col min="514" max="514" width="7" bestFit="1" customWidth="1"/>
    <col min="515" max="515" width="10.6640625" bestFit="1" customWidth="1"/>
    <col min="516" max="516" width="6" bestFit="1" customWidth="1"/>
    <col min="517" max="517" width="10.6640625" bestFit="1" customWidth="1"/>
    <col min="518" max="518" width="6" bestFit="1" customWidth="1"/>
    <col min="519" max="519" width="10.6640625" bestFit="1" customWidth="1"/>
    <col min="520" max="520" width="6" bestFit="1" customWidth="1"/>
    <col min="521" max="521" width="10.6640625" bestFit="1" customWidth="1"/>
    <col min="522" max="522" width="6" bestFit="1" customWidth="1"/>
    <col min="523" max="523" width="10.6640625" bestFit="1" customWidth="1"/>
    <col min="524" max="524" width="6" bestFit="1" customWidth="1"/>
    <col min="525" max="525" width="10.6640625" bestFit="1" customWidth="1"/>
    <col min="526" max="526" width="6" bestFit="1" customWidth="1"/>
    <col min="527" max="527" width="10.6640625" bestFit="1" customWidth="1"/>
    <col min="528" max="528" width="6" bestFit="1" customWidth="1"/>
    <col min="529" max="529" width="10.6640625" bestFit="1" customWidth="1"/>
    <col min="530" max="530" width="7" bestFit="1" customWidth="1"/>
    <col min="531" max="531" width="10.6640625" bestFit="1" customWidth="1"/>
    <col min="532" max="532" width="6" bestFit="1" customWidth="1"/>
    <col min="533" max="533" width="10.6640625" bestFit="1" customWidth="1"/>
    <col min="534" max="534" width="6" bestFit="1" customWidth="1"/>
    <col min="535" max="535" width="10.6640625" bestFit="1" customWidth="1"/>
    <col min="536" max="536" width="6" bestFit="1" customWidth="1"/>
    <col min="537" max="537" width="10.6640625" bestFit="1" customWidth="1"/>
    <col min="538" max="538" width="7" bestFit="1" customWidth="1"/>
    <col min="539" max="539" width="10.6640625" bestFit="1" customWidth="1"/>
    <col min="540" max="540" width="6" bestFit="1" customWidth="1"/>
    <col min="541" max="541" width="10.6640625" bestFit="1" customWidth="1"/>
    <col min="542" max="542" width="6" bestFit="1" customWidth="1"/>
    <col min="543" max="543" width="10.6640625" bestFit="1" customWidth="1"/>
    <col min="544" max="544" width="6" bestFit="1" customWidth="1"/>
    <col min="545" max="545" width="10.6640625" bestFit="1" customWidth="1"/>
    <col min="546" max="546" width="6" bestFit="1" customWidth="1"/>
    <col min="547" max="547" width="10.6640625" bestFit="1" customWidth="1"/>
    <col min="548" max="548" width="6" bestFit="1" customWidth="1"/>
    <col min="549" max="549" width="10.6640625" bestFit="1" customWidth="1"/>
    <col min="550" max="550" width="6" bestFit="1" customWidth="1"/>
    <col min="551" max="551" width="10.6640625" bestFit="1" customWidth="1"/>
    <col min="552" max="552" width="6" bestFit="1" customWidth="1"/>
    <col min="553" max="553" width="10.6640625" bestFit="1" customWidth="1"/>
    <col min="554" max="554" width="6" bestFit="1" customWidth="1"/>
    <col min="555" max="555" width="10.6640625" bestFit="1" customWidth="1"/>
    <col min="556" max="556" width="6" bestFit="1" customWidth="1"/>
    <col min="557" max="557" width="10.6640625" bestFit="1" customWidth="1"/>
    <col min="558" max="558" width="6" bestFit="1" customWidth="1"/>
    <col min="559" max="559" width="10.6640625" bestFit="1" customWidth="1"/>
    <col min="560" max="560" width="6" bestFit="1" customWidth="1"/>
    <col min="561" max="561" width="10.6640625" bestFit="1" customWidth="1"/>
    <col min="562" max="562" width="7" bestFit="1" customWidth="1"/>
    <col min="563" max="563" width="10.6640625" bestFit="1" customWidth="1"/>
    <col min="564" max="564" width="7" bestFit="1" customWidth="1"/>
    <col min="565" max="565" width="10.6640625" bestFit="1" customWidth="1"/>
    <col min="566" max="566" width="6" bestFit="1" customWidth="1"/>
    <col min="567" max="567" width="10.6640625" bestFit="1" customWidth="1"/>
    <col min="568" max="568" width="7" bestFit="1" customWidth="1"/>
    <col min="569" max="569" width="10.6640625" bestFit="1" customWidth="1"/>
    <col min="570" max="570" width="6" bestFit="1" customWidth="1"/>
    <col min="571" max="571" width="10.6640625" bestFit="1" customWidth="1"/>
    <col min="572" max="572" width="7" bestFit="1" customWidth="1"/>
    <col min="573" max="573" width="10.6640625" bestFit="1" customWidth="1"/>
    <col min="574" max="574" width="7" bestFit="1" customWidth="1"/>
    <col min="575" max="575" width="10.6640625" bestFit="1" customWidth="1"/>
    <col min="576" max="576" width="7" bestFit="1" customWidth="1"/>
    <col min="577" max="577" width="10.6640625" bestFit="1" customWidth="1"/>
    <col min="578" max="578" width="7" bestFit="1" customWidth="1"/>
    <col min="579" max="579" width="10.6640625" bestFit="1" customWidth="1"/>
    <col min="580" max="580" width="6" bestFit="1" customWidth="1"/>
    <col min="581" max="581" width="10.6640625" bestFit="1" customWidth="1"/>
    <col min="582" max="582" width="7" bestFit="1" customWidth="1"/>
    <col min="583" max="583" width="10.6640625" bestFit="1" customWidth="1"/>
    <col min="584" max="584" width="7" bestFit="1" customWidth="1"/>
    <col min="585" max="585" width="10.6640625" bestFit="1" customWidth="1"/>
    <col min="586" max="586" width="6" bestFit="1" customWidth="1"/>
    <col min="587" max="587" width="10.6640625" bestFit="1" customWidth="1"/>
    <col min="588" max="588" width="6" bestFit="1" customWidth="1"/>
    <col min="589" max="589" width="10.6640625" bestFit="1" customWidth="1"/>
    <col min="590" max="590" width="7" bestFit="1" customWidth="1"/>
    <col min="591" max="591" width="10.6640625" bestFit="1" customWidth="1"/>
    <col min="592" max="592" width="7" bestFit="1" customWidth="1"/>
    <col min="593" max="593" width="10.6640625" bestFit="1" customWidth="1"/>
    <col min="594" max="594" width="7" bestFit="1" customWidth="1"/>
    <col min="595" max="595" width="10.6640625" bestFit="1" customWidth="1"/>
    <col min="596" max="596" width="7" bestFit="1" customWidth="1"/>
    <col min="597" max="597" width="10.6640625" bestFit="1" customWidth="1"/>
    <col min="598" max="598" width="7" bestFit="1" customWidth="1"/>
    <col min="599" max="599" width="10.6640625" bestFit="1" customWidth="1"/>
    <col min="600" max="600" width="6" bestFit="1" customWidth="1"/>
    <col min="601" max="601" width="10.6640625" bestFit="1" customWidth="1"/>
    <col min="602" max="602" width="6" bestFit="1" customWidth="1"/>
    <col min="603" max="603" width="10.6640625" bestFit="1" customWidth="1"/>
    <col min="604" max="604" width="6" bestFit="1" customWidth="1"/>
    <col min="605" max="605" width="10.6640625" bestFit="1" customWidth="1"/>
    <col min="606" max="606" width="7" bestFit="1" customWidth="1"/>
    <col min="607" max="607" width="10.6640625" bestFit="1" customWidth="1"/>
    <col min="608" max="608" width="7" bestFit="1" customWidth="1"/>
    <col min="609" max="609" width="10.6640625" bestFit="1" customWidth="1"/>
    <col min="610" max="610" width="6" bestFit="1" customWidth="1"/>
    <col min="611" max="611" width="10.6640625" bestFit="1" customWidth="1"/>
    <col min="612" max="612" width="6" bestFit="1" customWidth="1"/>
    <col min="613" max="613" width="10.6640625" bestFit="1" customWidth="1"/>
    <col min="614" max="614" width="6" bestFit="1" customWidth="1"/>
    <col min="615" max="615" width="10.6640625" bestFit="1" customWidth="1"/>
    <col min="616" max="616" width="6" bestFit="1" customWidth="1"/>
    <col min="617" max="617" width="10.6640625" bestFit="1" customWidth="1"/>
    <col min="618" max="618" width="6" bestFit="1" customWidth="1"/>
    <col min="619" max="619" width="10.6640625" bestFit="1" customWidth="1"/>
    <col min="620" max="620" width="7" bestFit="1" customWidth="1"/>
    <col min="621" max="621" width="10.6640625" bestFit="1" customWidth="1"/>
    <col min="622" max="622" width="6" bestFit="1" customWidth="1"/>
    <col min="623" max="623" width="10.6640625" bestFit="1" customWidth="1"/>
    <col min="624" max="624" width="6" bestFit="1" customWidth="1"/>
    <col min="625" max="625" width="10.6640625" bestFit="1" customWidth="1"/>
    <col min="626" max="626" width="6" bestFit="1" customWidth="1"/>
    <col min="627" max="627" width="10.6640625" bestFit="1" customWidth="1"/>
    <col min="628" max="628" width="6" bestFit="1" customWidth="1"/>
    <col min="629" max="629" width="10.6640625" bestFit="1" customWidth="1"/>
    <col min="630" max="630" width="6" bestFit="1" customWidth="1"/>
    <col min="631" max="631" width="10.6640625" bestFit="1" customWidth="1"/>
    <col min="632" max="632" width="6" bestFit="1" customWidth="1"/>
    <col min="633" max="633" width="10.6640625" bestFit="1" customWidth="1"/>
    <col min="634" max="634" width="6" bestFit="1" customWidth="1"/>
    <col min="635" max="635" width="10.6640625" bestFit="1" customWidth="1"/>
    <col min="636" max="636" width="6" bestFit="1" customWidth="1"/>
    <col min="637" max="637" width="10.6640625" bestFit="1" customWidth="1"/>
    <col min="638" max="638" width="6" bestFit="1" customWidth="1"/>
    <col min="639" max="639" width="10.6640625" bestFit="1" customWidth="1"/>
    <col min="640" max="640" width="6" bestFit="1" customWidth="1"/>
    <col min="641" max="641" width="10.6640625" bestFit="1" customWidth="1"/>
    <col min="642" max="642" width="6" bestFit="1" customWidth="1"/>
    <col min="643" max="643" width="10.6640625" bestFit="1" customWidth="1"/>
    <col min="644" max="644" width="6" bestFit="1" customWidth="1"/>
    <col min="645" max="645" width="10.6640625" bestFit="1" customWidth="1"/>
    <col min="646" max="646" width="6" bestFit="1" customWidth="1"/>
    <col min="647" max="647" width="10.6640625" bestFit="1" customWidth="1"/>
    <col min="648" max="648" width="6" bestFit="1" customWidth="1"/>
    <col min="649" max="649" width="10.6640625" bestFit="1" customWidth="1"/>
    <col min="650" max="650" width="6" bestFit="1" customWidth="1"/>
    <col min="651" max="651" width="10.6640625" bestFit="1" customWidth="1"/>
    <col min="652" max="652" width="6" bestFit="1" customWidth="1"/>
    <col min="653" max="653" width="10.6640625" bestFit="1" customWidth="1"/>
    <col min="654" max="654" width="6" bestFit="1" customWidth="1"/>
    <col min="655" max="655" width="10.6640625" bestFit="1" customWidth="1"/>
    <col min="656" max="656" width="6" bestFit="1" customWidth="1"/>
    <col min="657" max="657" width="10.6640625" bestFit="1" customWidth="1"/>
    <col min="658" max="658" width="6" bestFit="1" customWidth="1"/>
    <col min="659" max="659" width="10.6640625" bestFit="1" customWidth="1"/>
    <col min="660" max="660" width="6" bestFit="1" customWidth="1"/>
    <col min="661" max="661" width="10.6640625" bestFit="1" customWidth="1"/>
    <col min="662" max="662" width="6" bestFit="1" customWidth="1"/>
    <col min="663" max="663" width="10.6640625" bestFit="1" customWidth="1"/>
    <col min="664" max="664" width="6" bestFit="1" customWidth="1"/>
    <col min="665" max="665" width="10.6640625" bestFit="1" customWidth="1"/>
    <col min="666" max="666" width="6" bestFit="1" customWidth="1"/>
    <col min="667" max="667" width="10.6640625" bestFit="1" customWidth="1"/>
    <col min="668" max="668" width="6" bestFit="1" customWidth="1"/>
    <col min="669" max="669" width="10.6640625" bestFit="1" customWidth="1"/>
    <col min="670" max="670" width="7" bestFit="1" customWidth="1"/>
    <col min="671" max="671" width="10.6640625" bestFit="1" customWidth="1"/>
    <col min="672" max="672" width="6" bestFit="1" customWidth="1"/>
    <col min="673" max="673" width="10.6640625" bestFit="1" customWidth="1"/>
    <col min="674" max="674" width="6" bestFit="1" customWidth="1"/>
    <col min="675" max="675" width="10.6640625" bestFit="1" customWidth="1"/>
    <col min="676" max="676" width="6" bestFit="1" customWidth="1"/>
    <col min="677" max="677" width="10.6640625" bestFit="1" customWidth="1"/>
    <col min="678" max="678" width="7" bestFit="1" customWidth="1"/>
    <col min="679" max="679" width="10.6640625" bestFit="1" customWidth="1"/>
    <col min="680" max="680" width="6" bestFit="1" customWidth="1"/>
    <col min="681" max="681" width="10.6640625" bestFit="1" customWidth="1"/>
    <col min="682" max="682" width="6" bestFit="1" customWidth="1"/>
    <col min="683" max="683" width="10.6640625" bestFit="1" customWidth="1"/>
    <col min="684" max="684" width="6" bestFit="1" customWidth="1"/>
    <col min="685" max="685" width="10.6640625" bestFit="1" customWidth="1"/>
    <col min="686" max="686" width="6" bestFit="1" customWidth="1"/>
    <col min="687" max="687" width="10.6640625" bestFit="1" customWidth="1"/>
    <col min="688" max="688" width="6" bestFit="1" customWidth="1"/>
    <col min="689" max="689" width="10.6640625" bestFit="1" customWidth="1"/>
    <col min="690" max="690" width="6" bestFit="1" customWidth="1"/>
    <col min="691" max="691" width="10.6640625" bestFit="1" customWidth="1"/>
    <col min="692" max="692" width="6" bestFit="1" customWidth="1"/>
    <col min="693" max="693" width="10.6640625" bestFit="1" customWidth="1"/>
    <col min="694" max="694" width="6" bestFit="1" customWidth="1"/>
    <col min="695" max="695" width="10.6640625" bestFit="1" customWidth="1"/>
    <col min="696" max="696" width="6" bestFit="1" customWidth="1"/>
    <col min="697" max="697" width="10.6640625" bestFit="1" customWidth="1"/>
    <col min="698" max="698" width="7" bestFit="1" customWidth="1"/>
    <col min="699" max="699" width="10.6640625" bestFit="1" customWidth="1"/>
    <col min="700" max="700" width="6" bestFit="1" customWidth="1"/>
    <col min="701" max="701" width="10.6640625" bestFit="1" customWidth="1"/>
    <col min="702" max="702" width="6" bestFit="1" customWidth="1"/>
    <col min="703" max="703" width="10.6640625" bestFit="1" customWidth="1"/>
    <col min="704" max="704" width="6" bestFit="1" customWidth="1"/>
    <col min="705" max="705" width="10.6640625" bestFit="1" customWidth="1"/>
    <col min="706" max="706" width="6" bestFit="1" customWidth="1"/>
    <col min="707" max="707" width="10.6640625" bestFit="1" customWidth="1"/>
    <col min="708" max="708" width="6" bestFit="1" customWidth="1"/>
    <col min="709" max="709" width="10.6640625" bestFit="1" customWidth="1"/>
    <col min="710" max="710" width="6" bestFit="1" customWidth="1"/>
    <col min="711" max="711" width="10.6640625" bestFit="1" customWidth="1"/>
    <col min="712" max="712" width="6" bestFit="1" customWidth="1"/>
    <col min="713" max="713" width="10.6640625" bestFit="1" customWidth="1"/>
    <col min="714" max="714" width="6" bestFit="1" customWidth="1"/>
    <col min="715" max="715" width="10.6640625" bestFit="1" customWidth="1"/>
    <col min="716" max="716" width="6" bestFit="1" customWidth="1"/>
    <col min="717" max="717" width="10.6640625" bestFit="1" customWidth="1"/>
    <col min="718" max="718" width="6" bestFit="1" customWidth="1"/>
    <col min="719" max="719" width="10.6640625" bestFit="1" customWidth="1"/>
    <col min="720" max="720" width="6" bestFit="1" customWidth="1"/>
    <col min="721" max="721" width="10.6640625" bestFit="1" customWidth="1"/>
    <col min="722" max="722" width="6" bestFit="1" customWidth="1"/>
    <col min="723" max="723" width="10.6640625" bestFit="1" customWidth="1"/>
    <col min="724" max="724" width="6" bestFit="1" customWidth="1"/>
    <col min="725" max="725" width="10.6640625" bestFit="1" customWidth="1"/>
    <col min="726" max="726" width="6" bestFit="1" customWidth="1"/>
    <col min="727" max="727" width="10.6640625" bestFit="1" customWidth="1"/>
    <col min="728" max="728" width="6" bestFit="1" customWidth="1"/>
    <col min="729" max="729" width="10.6640625" bestFit="1" customWidth="1"/>
    <col min="730" max="730" width="6" bestFit="1" customWidth="1"/>
    <col min="731" max="731" width="10.6640625" bestFit="1" customWidth="1"/>
    <col min="732" max="732" width="6" bestFit="1" customWidth="1"/>
    <col min="733" max="733" width="10.6640625" bestFit="1" customWidth="1"/>
    <col min="734" max="734" width="6" bestFit="1" customWidth="1"/>
    <col min="735" max="735" width="10.6640625" bestFit="1" customWidth="1"/>
    <col min="736" max="736" width="7" bestFit="1" customWidth="1"/>
    <col min="737" max="737" width="10.6640625" bestFit="1" customWidth="1"/>
    <col min="738" max="738" width="6" bestFit="1" customWidth="1"/>
    <col min="739" max="739" width="10.6640625" bestFit="1" customWidth="1"/>
    <col min="740" max="740" width="6" bestFit="1" customWidth="1"/>
    <col min="741" max="741" width="10.6640625" bestFit="1" customWidth="1"/>
    <col min="742" max="742" width="6" bestFit="1" customWidth="1"/>
    <col min="743" max="743" width="10.6640625" bestFit="1" customWidth="1"/>
    <col min="744" max="744" width="6" bestFit="1" customWidth="1"/>
    <col min="745" max="745" width="10.6640625" bestFit="1" customWidth="1"/>
    <col min="746" max="746" width="6" bestFit="1" customWidth="1"/>
    <col min="747" max="747" width="10.6640625" bestFit="1" customWidth="1"/>
    <col min="748" max="748" width="6" bestFit="1" customWidth="1"/>
    <col min="749" max="749" width="10.6640625" bestFit="1" customWidth="1"/>
    <col min="750" max="750" width="7" bestFit="1" customWidth="1"/>
    <col min="751" max="751" width="10.6640625" bestFit="1" customWidth="1"/>
    <col min="752" max="752" width="7" bestFit="1" customWidth="1"/>
    <col min="753" max="753" width="10.6640625" bestFit="1" customWidth="1"/>
    <col min="754" max="754" width="6" bestFit="1" customWidth="1"/>
    <col min="755" max="755" width="10.6640625" bestFit="1" customWidth="1"/>
    <col min="756" max="756" width="7" bestFit="1" customWidth="1"/>
    <col min="757" max="757" width="10.6640625" bestFit="1" customWidth="1"/>
    <col min="758" max="758" width="6" bestFit="1" customWidth="1"/>
    <col min="759" max="759" width="10.6640625" bestFit="1" customWidth="1"/>
    <col min="760" max="760" width="6" bestFit="1" customWidth="1"/>
    <col min="761" max="761" width="10.6640625" bestFit="1" customWidth="1"/>
    <col min="762" max="762" width="6" bestFit="1" customWidth="1"/>
    <col min="763" max="763" width="10.6640625" bestFit="1" customWidth="1"/>
    <col min="764" max="764" width="7" bestFit="1" customWidth="1"/>
    <col min="765" max="765" width="10.6640625" bestFit="1" customWidth="1"/>
    <col min="766" max="766" width="6" bestFit="1" customWidth="1"/>
    <col min="767" max="767" width="10.6640625" bestFit="1" customWidth="1"/>
    <col min="768" max="768" width="6" bestFit="1" customWidth="1"/>
    <col min="769" max="769" width="10.6640625" bestFit="1" customWidth="1"/>
    <col min="770" max="770" width="7" bestFit="1" customWidth="1"/>
    <col min="771" max="771" width="10.6640625" bestFit="1" customWidth="1"/>
    <col min="772" max="772" width="6" bestFit="1" customWidth="1"/>
    <col min="773" max="773" width="10.6640625" bestFit="1" customWidth="1"/>
    <col min="774" max="774" width="6" bestFit="1" customWidth="1"/>
    <col min="775" max="775" width="10.6640625" bestFit="1" customWidth="1"/>
    <col min="776" max="776" width="6" bestFit="1" customWidth="1"/>
    <col min="777" max="777" width="10.6640625" bestFit="1" customWidth="1"/>
    <col min="778" max="778" width="7" bestFit="1" customWidth="1"/>
    <col min="779" max="779" width="10.6640625" bestFit="1" customWidth="1"/>
    <col min="780" max="780" width="6" bestFit="1" customWidth="1"/>
    <col min="781" max="781" width="10.6640625" bestFit="1" customWidth="1"/>
    <col min="782" max="782" width="6" bestFit="1" customWidth="1"/>
    <col min="783" max="783" width="10.6640625" bestFit="1" customWidth="1"/>
    <col min="784" max="784" width="7" bestFit="1" customWidth="1"/>
    <col min="785" max="785" width="10.6640625" bestFit="1" customWidth="1"/>
    <col min="786" max="786" width="7" bestFit="1" customWidth="1"/>
    <col min="787" max="787" width="10.6640625" bestFit="1" customWidth="1"/>
    <col min="788" max="788" width="6" bestFit="1" customWidth="1"/>
    <col min="789" max="789" width="10.6640625" bestFit="1" customWidth="1"/>
    <col min="790" max="790" width="6" bestFit="1" customWidth="1"/>
    <col min="791" max="791" width="10.6640625" bestFit="1" customWidth="1"/>
    <col min="792" max="792" width="7" bestFit="1" customWidth="1"/>
    <col min="793" max="793" width="10.6640625" bestFit="1" customWidth="1"/>
    <col min="794" max="794" width="7" bestFit="1" customWidth="1"/>
    <col min="795" max="795" width="10.6640625" bestFit="1" customWidth="1"/>
    <col min="796" max="796" width="6" bestFit="1" customWidth="1"/>
    <col min="797" max="797" width="10.6640625" bestFit="1" customWidth="1"/>
    <col min="798" max="798" width="6" bestFit="1" customWidth="1"/>
    <col min="799" max="799" width="10.6640625" bestFit="1" customWidth="1"/>
    <col min="800" max="800" width="7" bestFit="1" customWidth="1"/>
    <col min="801" max="801" width="10.6640625" bestFit="1" customWidth="1"/>
    <col min="802" max="802" width="6" bestFit="1" customWidth="1"/>
    <col min="803" max="803" width="10.6640625" bestFit="1" customWidth="1"/>
    <col min="804" max="804" width="6" bestFit="1" customWidth="1"/>
    <col min="805" max="805" width="10.6640625" bestFit="1" customWidth="1"/>
    <col min="806" max="806" width="6" bestFit="1" customWidth="1"/>
    <col min="807" max="807" width="10.6640625" bestFit="1" customWidth="1"/>
    <col min="808" max="808" width="6" bestFit="1" customWidth="1"/>
    <col min="809" max="809" width="10.6640625" bestFit="1" customWidth="1"/>
    <col min="810" max="810" width="6" bestFit="1" customWidth="1"/>
    <col min="811" max="811" width="10.6640625" bestFit="1" customWidth="1"/>
    <col min="812" max="812" width="7" bestFit="1" customWidth="1"/>
    <col min="813" max="813" width="10.6640625" bestFit="1" customWidth="1"/>
    <col min="814" max="814" width="7" bestFit="1" customWidth="1"/>
    <col min="815" max="815" width="10.6640625" bestFit="1" customWidth="1"/>
    <col min="816" max="816" width="7" bestFit="1" customWidth="1"/>
    <col min="817" max="817" width="10.6640625" bestFit="1" customWidth="1"/>
    <col min="818" max="818" width="7" bestFit="1" customWidth="1"/>
    <col min="819" max="819" width="10.6640625" bestFit="1" customWidth="1"/>
    <col min="820" max="820" width="7" bestFit="1" customWidth="1"/>
    <col min="821" max="821" width="10.6640625" bestFit="1" customWidth="1"/>
    <col min="822" max="822" width="6" bestFit="1" customWidth="1"/>
    <col min="823" max="823" width="10.6640625" bestFit="1" customWidth="1"/>
    <col min="824" max="824" width="7" bestFit="1" customWidth="1"/>
    <col min="825" max="825" width="10.6640625" bestFit="1" customWidth="1"/>
    <col min="826" max="826" width="7" bestFit="1" customWidth="1"/>
    <col min="827" max="827" width="10.6640625" bestFit="1" customWidth="1"/>
    <col min="828" max="828" width="7" bestFit="1" customWidth="1"/>
    <col min="829" max="829" width="10.6640625" bestFit="1" customWidth="1"/>
    <col min="830" max="830" width="7" bestFit="1" customWidth="1"/>
    <col min="831" max="831" width="10.6640625" bestFit="1" customWidth="1"/>
    <col min="832" max="832" width="7" bestFit="1" customWidth="1"/>
    <col min="833" max="833" width="10.6640625" bestFit="1" customWidth="1"/>
    <col min="834" max="834" width="6" bestFit="1" customWidth="1"/>
    <col min="835" max="835" width="10.6640625" bestFit="1" customWidth="1"/>
    <col min="836" max="836" width="7" bestFit="1" customWidth="1"/>
    <col min="837" max="837" width="10.6640625" bestFit="1" customWidth="1"/>
    <col min="838" max="838" width="7" bestFit="1" customWidth="1"/>
    <col min="839" max="839" width="10.6640625" bestFit="1" customWidth="1"/>
    <col min="840" max="840" width="7" bestFit="1" customWidth="1"/>
    <col min="841" max="841" width="10.6640625" bestFit="1" customWidth="1"/>
    <col min="842" max="842" width="6" bestFit="1" customWidth="1"/>
    <col min="843" max="843" width="10.6640625" bestFit="1" customWidth="1"/>
    <col min="844" max="844" width="7" bestFit="1" customWidth="1"/>
    <col min="845" max="845" width="10.6640625" bestFit="1" customWidth="1"/>
    <col min="846" max="846" width="7" bestFit="1" customWidth="1"/>
    <col min="847" max="847" width="11.6640625" bestFit="1" customWidth="1"/>
    <col min="848" max="848" width="7" bestFit="1" customWidth="1"/>
    <col min="849" max="849" width="11.6640625" bestFit="1" customWidth="1"/>
    <col min="850" max="850" width="7" bestFit="1" customWidth="1"/>
    <col min="851" max="851" width="11.6640625" bestFit="1" customWidth="1"/>
    <col min="852" max="852" width="7" bestFit="1" customWidth="1"/>
    <col min="853" max="853" width="11.6640625" bestFit="1" customWidth="1"/>
    <col min="854" max="854" width="7" bestFit="1" customWidth="1"/>
    <col min="855" max="855" width="11.6640625" bestFit="1" customWidth="1"/>
    <col min="856" max="856" width="7" bestFit="1" customWidth="1"/>
    <col min="857" max="857" width="11.6640625" bestFit="1" customWidth="1"/>
    <col min="858" max="858" width="7" bestFit="1" customWidth="1"/>
    <col min="859" max="859" width="11.6640625" bestFit="1" customWidth="1"/>
    <col min="860" max="860" width="7" bestFit="1" customWidth="1"/>
    <col min="861" max="861" width="11.6640625" bestFit="1" customWidth="1"/>
    <col min="862" max="862" width="7" bestFit="1" customWidth="1"/>
    <col min="863" max="863" width="11.6640625" bestFit="1" customWidth="1"/>
    <col min="864" max="864" width="7" bestFit="1" customWidth="1"/>
    <col min="865" max="865" width="11.6640625" bestFit="1" customWidth="1"/>
    <col min="866" max="866" width="7" bestFit="1" customWidth="1"/>
    <col min="867" max="867" width="11.6640625" bestFit="1" customWidth="1"/>
    <col min="868" max="868" width="7" bestFit="1" customWidth="1"/>
    <col min="869" max="869" width="11.6640625" bestFit="1" customWidth="1"/>
    <col min="870" max="870" width="7" bestFit="1" customWidth="1"/>
    <col min="871" max="871" width="11.6640625" bestFit="1" customWidth="1"/>
    <col min="872" max="872" width="7" bestFit="1" customWidth="1"/>
    <col min="873" max="873" width="11.6640625" bestFit="1" customWidth="1"/>
    <col min="874" max="874" width="7" bestFit="1" customWidth="1"/>
    <col min="875" max="875" width="11.6640625" bestFit="1" customWidth="1"/>
    <col min="876" max="876" width="11.88671875" bestFit="1" customWidth="1"/>
  </cols>
  <sheetData>
    <row r="2" spans="1:10" ht="28.2" x14ac:dyDescent="0.5">
      <c r="B2" s="6" t="s">
        <v>78</v>
      </c>
      <c r="C2" s="6"/>
      <c r="D2" s="6"/>
      <c r="E2" s="6"/>
      <c r="F2" s="6"/>
      <c r="G2" s="6"/>
    </row>
    <row r="6" spans="1:10" x14ac:dyDescent="0.3">
      <c r="F6" s="6" t="s">
        <v>77</v>
      </c>
      <c r="G6" s="6"/>
      <c r="H6" s="6"/>
      <c r="I6" s="6"/>
      <c r="J6" s="6"/>
    </row>
    <row r="7" spans="1:10" x14ac:dyDescent="0.3">
      <c r="F7" s="6"/>
      <c r="G7" s="6"/>
      <c r="H7" s="6"/>
      <c r="I7" s="6"/>
      <c r="J7" s="6"/>
    </row>
    <row r="9" spans="1:10" x14ac:dyDescent="0.3">
      <c r="A9" s="3" t="s">
        <v>71</v>
      </c>
      <c r="B9" t="s">
        <v>72</v>
      </c>
    </row>
    <row r="10" spans="1:10" x14ac:dyDescent="0.3">
      <c r="A10" s="5" t="s">
        <v>48</v>
      </c>
      <c r="B10" s="2">
        <v>1151362</v>
      </c>
    </row>
    <row r="11" spans="1:10" x14ac:dyDescent="0.3">
      <c r="A11" s="5" t="s">
        <v>3</v>
      </c>
      <c r="B11" s="2">
        <v>1329318</v>
      </c>
    </row>
    <row r="12" spans="1:10" x14ac:dyDescent="0.3">
      <c r="A12" s="5" t="s">
        <v>10</v>
      </c>
      <c r="B12" s="2">
        <v>1396246</v>
      </c>
    </row>
    <row r="13" spans="1:10" x14ac:dyDescent="0.3">
      <c r="A13" s="5" t="s">
        <v>51</v>
      </c>
      <c r="B13" s="2">
        <v>1544155</v>
      </c>
    </row>
    <row r="14" spans="1:10" x14ac:dyDescent="0.3">
      <c r="A14" s="5" t="s">
        <v>23</v>
      </c>
      <c r="B14" s="2">
        <v>1700361</v>
      </c>
    </row>
    <row r="15" spans="1:10" x14ac:dyDescent="0.3">
      <c r="A15" s="5" t="s">
        <v>46</v>
      </c>
      <c r="B15" s="2">
        <v>1853200</v>
      </c>
    </row>
    <row r="16" spans="1:10" x14ac:dyDescent="0.3">
      <c r="A16" s="5" t="s">
        <v>50</v>
      </c>
      <c r="B16" s="2">
        <v>2141268</v>
      </c>
    </row>
    <row r="17" spans="1:2" x14ac:dyDescent="0.3">
      <c r="A17" s="5" t="s">
        <v>14</v>
      </c>
      <c r="B17" s="2">
        <v>2824608</v>
      </c>
    </row>
    <row r="18" spans="1:2" x14ac:dyDescent="0.3">
      <c r="A18" s="5" t="s">
        <v>45</v>
      </c>
      <c r="B18" s="2">
        <v>2908515</v>
      </c>
    </row>
    <row r="19" spans="1:2" x14ac:dyDescent="0.3">
      <c r="A19" s="5" t="s">
        <v>24</v>
      </c>
      <c r="B19" s="2">
        <v>12806883</v>
      </c>
    </row>
    <row r="20" spans="1:2" x14ac:dyDescent="0.3">
      <c r="A20" s="5" t="s">
        <v>60</v>
      </c>
      <c r="B20" s="2">
        <v>29655916</v>
      </c>
    </row>
    <row r="28" spans="1:2" x14ac:dyDescent="0.3">
      <c r="A28" t="str">
        <f>A19</f>
        <v>Oficinas Centrales</v>
      </c>
      <c r="B28">
        <f>GETPIVOTDATA("Suma de todos los Servicios",$A$9,"Oficina Representación","Oficinas Centrales")</f>
        <v>12806883</v>
      </c>
    </row>
    <row r="33" spans="1:5" x14ac:dyDescent="0.3">
      <c r="A33" s="3" t="s">
        <v>79</v>
      </c>
      <c r="B33" t="s">
        <v>80</v>
      </c>
    </row>
    <row r="34" spans="1:5" x14ac:dyDescent="0.3">
      <c r="A34" s="5" t="s">
        <v>29</v>
      </c>
      <c r="B34" s="2">
        <v>55249</v>
      </c>
      <c r="D34" t="str">
        <f>A34</f>
        <v>Regional Oriente</v>
      </c>
      <c r="E34">
        <f>GETPIVOTDATA("Suma de todos los Servicios",$A$33,"Oficina Representación","Regional Oriente")</f>
        <v>55249</v>
      </c>
    </row>
    <row r="35" spans="1:5" x14ac:dyDescent="0.3">
      <c r="A35" s="5" t="s">
        <v>27</v>
      </c>
      <c r="B35" s="2">
        <v>110312</v>
      </c>
    </row>
    <row r="36" spans="1:5" x14ac:dyDescent="0.3">
      <c r="A36" s="5" t="s">
        <v>30</v>
      </c>
      <c r="B36" s="2">
        <v>139866</v>
      </c>
    </row>
    <row r="37" spans="1:5" x14ac:dyDescent="0.3">
      <c r="A37" s="5" t="s">
        <v>28</v>
      </c>
      <c r="B37" s="2">
        <v>172802</v>
      </c>
    </row>
    <row r="38" spans="1:5" x14ac:dyDescent="0.3">
      <c r="A38" s="5" t="s">
        <v>25</v>
      </c>
      <c r="B38" s="2">
        <v>236848</v>
      </c>
    </row>
    <row r="39" spans="1:5" x14ac:dyDescent="0.3">
      <c r="A39" s="5" t="s">
        <v>31</v>
      </c>
      <c r="B39" s="2">
        <v>330258</v>
      </c>
    </row>
    <row r="40" spans="1:5" x14ac:dyDescent="0.3">
      <c r="A40" s="5" t="s">
        <v>20</v>
      </c>
      <c r="B40" s="2">
        <v>367601</v>
      </c>
    </row>
    <row r="41" spans="1:5" x14ac:dyDescent="0.3">
      <c r="A41" s="5" t="s">
        <v>32</v>
      </c>
      <c r="B41" s="2">
        <v>379617</v>
      </c>
    </row>
    <row r="42" spans="1:5" x14ac:dyDescent="0.3">
      <c r="A42" s="5" t="s">
        <v>1</v>
      </c>
      <c r="B42" s="2">
        <v>388326</v>
      </c>
    </row>
    <row r="43" spans="1:5" x14ac:dyDescent="0.3">
      <c r="A43" s="5" t="s">
        <v>33</v>
      </c>
      <c r="B43" s="2">
        <v>454525</v>
      </c>
    </row>
    <row r="44" spans="1:5" x14ac:dyDescent="0.3">
      <c r="A44" s="5" t="s">
        <v>0</v>
      </c>
      <c r="B44" s="2">
        <v>464037</v>
      </c>
    </row>
    <row r="45" spans="1:5" x14ac:dyDescent="0.3">
      <c r="A45" s="5" t="s">
        <v>16</v>
      </c>
      <c r="B45" s="2">
        <v>514526</v>
      </c>
    </row>
    <row r="46" spans="1:5" x14ac:dyDescent="0.3">
      <c r="A46" s="5" t="s">
        <v>9</v>
      </c>
      <c r="B46" s="2">
        <v>541003</v>
      </c>
    </row>
    <row r="47" spans="1:5" x14ac:dyDescent="0.3">
      <c r="A47" s="5" t="s">
        <v>17</v>
      </c>
      <c r="B47" s="2">
        <v>604570</v>
      </c>
    </row>
    <row r="48" spans="1:5" x14ac:dyDescent="0.3">
      <c r="A48" s="5" t="s">
        <v>54</v>
      </c>
      <c r="B48" s="2">
        <v>624538</v>
      </c>
    </row>
    <row r="49" spans="1:2" x14ac:dyDescent="0.3">
      <c r="A49" s="5" t="s">
        <v>58</v>
      </c>
      <c r="B49" s="2">
        <v>630996</v>
      </c>
    </row>
    <row r="50" spans="1:2" x14ac:dyDescent="0.3">
      <c r="A50" s="5" t="s">
        <v>5</v>
      </c>
      <c r="B50" s="2">
        <v>705652</v>
      </c>
    </row>
    <row r="51" spans="1:2" x14ac:dyDescent="0.3">
      <c r="A51" s="5" t="s">
        <v>49</v>
      </c>
      <c r="B51" s="2">
        <v>721599</v>
      </c>
    </row>
    <row r="52" spans="1:2" x14ac:dyDescent="0.3">
      <c r="A52" s="5" t="s">
        <v>18</v>
      </c>
      <c r="B52" s="2">
        <v>749396</v>
      </c>
    </row>
    <row r="53" spans="1:2" x14ac:dyDescent="0.3">
      <c r="A53" s="5" t="s">
        <v>56</v>
      </c>
      <c r="B53" s="2">
        <v>792076</v>
      </c>
    </row>
    <row r="54" spans="1:2" x14ac:dyDescent="0.3">
      <c r="A54" s="5" t="s">
        <v>22</v>
      </c>
      <c r="B54" s="2">
        <v>806518</v>
      </c>
    </row>
    <row r="55" spans="1:2" x14ac:dyDescent="0.3">
      <c r="A55" s="5" t="s">
        <v>8</v>
      </c>
      <c r="B55" s="2">
        <v>833184</v>
      </c>
    </row>
    <row r="56" spans="1:2" x14ac:dyDescent="0.3">
      <c r="A56" s="5" t="s">
        <v>52</v>
      </c>
      <c r="B56" s="2">
        <v>858610</v>
      </c>
    </row>
    <row r="57" spans="1:2" x14ac:dyDescent="0.3">
      <c r="A57" s="5" t="s">
        <v>59</v>
      </c>
      <c r="B57" s="2">
        <v>888123</v>
      </c>
    </row>
    <row r="58" spans="1:2" x14ac:dyDescent="0.3">
      <c r="A58" s="5" t="s">
        <v>4</v>
      </c>
      <c r="B58" s="2">
        <v>904262</v>
      </c>
    </row>
    <row r="59" spans="1:2" x14ac:dyDescent="0.3">
      <c r="A59" s="5" t="s">
        <v>57</v>
      </c>
      <c r="B59" s="2">
        <v>908129</v>
      </c>
    </row>
    <row r="60" spans="1:2" x14ac:dyDescent="0.3">
      <c r="A60" s="5" t="s">
        <v>53</v>
      </c>
      <c r="B60" s="2">
        <v>918381</v>
      </c>
    </row>
    <row r="61" spans="1:2" x14ac:dyDescent="0.3">
      <c r="A61" s="5" t="s">
        <v>15</v>
      </c>
      <c r="B61" s="2">
        <v>937351</v>
      </c>
    </row>
    <row r="62" spans="1:2" x14ac:dyDescent="0.3">
      <c r="A62" s="5" t="s">
        <v>13</v>
      </c>
      <c r="B62" s="2">
        <v>944130</v>
      </c>
    </row>
    <row r="63" spans="1:2" x14ac:dyDescent="0.3">
      <c r="A63" s="5" t="s">
        <v>12</v>
      </c>
      <c r="B63" s="2">
        <v>960342</v>
      </c>
    </row>
    <row r="64" spans="1:2" x14ac:dyDescent="0.3">
      <c r="A64" s="5" t="s">
        <v>47</v>
      </c>
      <c r="B64" s="2">
        <v>991542</v>
      </c>
    </row>
    <row r="65" spans="1:2" x14ac:dyDescent="0.3">
      <c r="A65" s="5" t="s">
        <v>55</v>
      </c>
      <c r="B65" s="2">
        <v>993249</v>
      </c>
    </row>
    <row r="66" spans="1:2" x14ac:dyDescent="0.3">
      <c r="A66" s="5" t="s">
        <v>26</v>
      </c>
      <c r="B66" s="2">
        <v>993584</v>
      </c>
    </row>
    <row r="67" spans="1:2" x14ac:dyDescent="0.3">
      <c r="A67" s="5" t="s">
        <v>11</v>
      </c>
      <c r="B67" s="2">
        <v>996808</v>
      </c>
    </row>
    <row r="68" spans="1:2" x14ac:dyDescent="0.3">
      <c r="A68" s="5" t="s">
        <v>21</v>
      </c>
      <c r="B68" s="2">
        <v>1004872</v>
      </c>
    </row>
    <row r="69" spans="1:2" x14ac:dyDescent="0.3">
      <c r="A69" s="5" t="s">
        <v>19</v>
      </c>
      <c r="B69" s="2">
        <v>1009606</v>
      </c>
    </row>
    <row r="70" spans="1:2" x14ac:dyDescent="0.3">
      <c r="A70" s="5" t="s">
        <v>6</v>
      </c>
      <c r="B70" s="2">
        <v>1061964</v>
      </c>
    </row>
    <row r="71" spans="1:2" x14ac:dyDescent="0.3">
      <c r="A71" s="5" t="s">
        <v>7</v>
      </c>
      <c r="B71" s="2">
        <v>1118233</v>
      </c>
    </row>
    <row r="72" spans="1:2" x14ac:dyDescent="0.3">
      <c r="A72" s="5" t="s">
        <v>2</v>
      </c>
      <c r="B72" s="2">
        <v>1147088</v>
      </c>
    </row>
    <row r="73" spans="1:2" x14ac:dyDescent="0.3">
      <c r="A73" s="5" t="s">
        <v>48</v>
      </c>
      <c r="B73" s="2">
        <v>1151362</v>
      </c>
    </row>
    <row r="74" spans="1:2" x14ac:dyDescent="0.3">
      <c r="A74" s="5" t="s">
        <v>3</v>
      </c>
      <c r="B74" s="2">
        <v>1329318</v>
      </c>
    </row>
    <row r="75" spans="1:2" x14ac:dyDescent="0.3">
      <c r="A75" s="5" t="s">
        <v>10</v>
      </c>
      <c r="B75" s="2">
        <v>1396246</v>
      </c>
    </row>
    <row r="76" spans="1:2" x14ac:dyDescent="0.3">
      <c r="A76" s="5" t="s">
        <v>51</v>
      </c>
      <c r="B76" s="2">
        <v>1544155</v>
      </c>
    </row>
    <row r="77" spans="1:2" x14ac:dyDescent="0.3">
      <c r="A77" s="5" t="s">
        <v>23</v>
      </c>
      <c r="B77" s="2">
        <v>1700361</v>
      </c>
    </row>
    <row r="78" spans="1:2" x14ac:dyDescent="0.3">
      <c r="A78" s="5" t="s">
        <v>46</v>
      </c>
      <c r="B78" s="2">
        <v>1853200</v>
      </c>
    </row>
    <row r="79" spans="1:2" x14ac:dyDescent="0.3">
      <c r="A79" s="5" t="s">
        <v>50</v>
      </c>
      <c r="B79" s="2">
        <v>2141268</v>
      </c>
    </row>
    <row r="80" spans="1:2" x14ac:dyDescent="0.3">
      <c r="A80" s="5" t="s">
        <v>14</v>
      </c>
      <c r="B80" s="2">
        <v>2824608</v>
      </c>
    </row>
    <row r="81" spans="1:2" x14ac:dyDescent="0.3">
      <c r="A81" s="5" t="s">
        <v>45</v>
      </c>
      <c r="B81" s="2">
        <v>2908515</v>
      </c>
    </row>
    <row r="82" spans="1:2" x14ac:dyDescent="0.3">
      <c r="A82" s="5" t="s">
        <v>24</v>
      </c>
      <c r="B82" s="2">
        <v>12806883</v>
      </c>
    </row>
    <row r="83" spans="1:2" x14ac:dyDescent="0.3">
      <c r="A83" s="5" t="s">
        <v>60</v>
      </c>
      <c r="B83" s="2">
        <v>56915689</v>
      </c>
    </row>
  </sheetData>
  <mergeCells count="2">
    <mergeCell ref="F6:J7"/>
    <mergeCell ref="B2:G2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D455-FE5D-4DB9-B672-24C684C812DC}">
  <dimension ref="A7:E16"/>
  <sheetViews>
    <sheetView topLeftCell="A4" workbookViewId="0">
      <selection activeCell="B34" sqref="B34"/>
    </sheetView>
  </sheetViews>
  <sheetFormatPr baseColWidth="10" defaultColWidth="15.109375" defaultRowHeight="14.4" x14ac:dyDescent="0.3"/>
  <cols>
    <col min="1" max="1" width="16.5546875" bestFit="1" customWidth="1"/>
    <col min="2" max="2" width="37.77734375" bestFit="1" customWidth="1"/>
    <col min="3" max="3" width="38.5546875" bestFit="1" customWidth="1"/>
    <col min="4" max="4" width="36" bestFit="1" customWidth="1"/>
    <col min="5" max="5" width="38.21875" bestFit="1" customWidth="1"/>
    <col min="6" max="6" width="35.44140625" bestFit="1" customWidth="1"/>
    <col min="7" max="7" width="37.21875" bestFit="1" customWidth="1"/>
    <col min="8" max="9" width="37.6640625" bestFit="1" customWidth="1"/>
    <col min="10" max="10" width="37.77734375" bestFit="1" customWidth="1"/>
    <col min="11" max="11" width="38.5546875" bestFit="1" customWidth="1"/>
    <col min="12" max="12" width="36" bestFit="1" customWidth="1"/>
    <col min="13" max="13" width="38.21875" bestFit="1" customWidth="1"/>
    <col min="14" max="14" width="35.44140625" bestFit="1" customWidth="1"/>
    <col min="15" max="15" width="37.21875" bestFit="1" customWidth="1"/>
    <col min="16" max="17" width="37.6640625" bestFit="1" customWidth="1"/>
    <col min="18" max="18" width="37.77734375" bestFit="1" customWidth="1"/>
    <col min="19" max="19" width="38.5546875" bestFit="1" customWidth="1"/>
    <col min="20" max="20" width="36" bestFit="1" customWidth="1"/>
    <col min="21" max="21" width="38.21875" bestFit="1" customWidth="1"/>
    <col min="22" max="22" width="35.44140625" bestFit="1" customWidth="1"/>
    <col min="23" max="23" width="37.21875" bestFit="1" customWidth="1"/>
    <col min="24" max="25" width="37.6640625" bestFit="1" customWidth="1"/>
    <col min="26" max="26" width="37.77734375" bestFit="1" customWidth="1"/>
    <col min="27" max="27" width="38.5546875" bestFit="1" customWidth="1"/>
    <col min="28" max="28" width="36" bestFit="1" customWidth="1"/>
    <col min="29" max="29" width="38.21875" bestFit="1" customWidth="1"/>
    <col min="30" max="30" width="35.44140625" bestFit="1" customWidth="1"/>
    <col min="31" max="31" width="37.21875" bestFit="1" customWidth="1"/>
    <col min="32" max="33" width="37.6640625" bestFit="1" customWidth="1"/>
    <col min="34" max="34" width="37.77734375" bestFit="1" customWidth="1"/>
    <col min="35" max="35" width="38.5546875" bestFit="1" customWidth="1"/>
    <col min="36" max="36" width="36" bestFit="1" customWidth="1"/>
    <col min="37" max="37" width="38.21875" bestFit="1" customWidth="1"/>
    <col min="38" max="38" width="35.44140625" bestFit="1" customWidth="1"/>
    <col min="39" max="39" width="37.21875" bestFit="1" customWidth="1"/>
    <col min="40" max="41" width="37.6640625" bestFit="1" customWidth="1"/>
    <col min="42" max="42" width="37.77734375" bestFit="1" customWidth="1"/>
    <col min="43" max="43" width="38.5546875" bestFit="1" customWidth="1"/>
    <col min="44" max="44" width="36" bestFit="1" customWidth="1"/>
    <col min="45" max="45" width="38.21875" bestFit="1" customWidth="1"/>
    <col min="46" max="46" width="35.44140625" bestFit="1" customWidth="1"/>
    <col min="47" max="47" width="37.21875" bestFit="1" customWidth="1"/>
    <col min="48" max="49" width="37.6640625" bestFit="1" customWidth="1"/>
    <col min="50" max="50" width="37.77734375" bestFit="1" customWidth="1"/>
    <col min="51" max="51" width="38.5546875" bestFit="1" customWidth="1"/>
    <col min="52" max="52" width="36" bestFit="1" customWidth="1"/>
    <col min="53" max="53" width="38.21875" bestFit="1" customWidth="1"/>
    <col min="54" max="54" width="35.44140625" bestFit="1" customWidth="1"/>
    <col min="55" max="55" width="37.21875" bestFit="1" customWidth="1"/>
    <col min="56" max="57" width="37.6640625" bestFit="1" customWidth="1"/>
    <col min="58" max="58" width="37.77734375" bestFit="1" customWidth="1"/>
    <col min="59" max="59" width="38.5546875" bestFit="1" customWidth="1"/>
    <col min="60" max="60" width="36" bestFit="1" customWidth="1"/>
    <col min="61" max="61" width="38.21875" bestFit="1" customWidth="1"/>
    <col min="62" max="62" width="35.44140625" bestFit="1" customWidth="1"/>
    <col min="63" max="63" width="37.21875" bestFit="1" customWidth="1"/>
    <col min="64" max="65" width="37.6640625" bestFit="1" customWidth="1"/>
    <col min="66" max="66" width="37.77734375" bestFit="1" customWidth="1"/>
    <col min="67" max="67" width="38.5546875" bestFit="1" customWidth="1"/>
    <col min="68" max="68" width="36" bestFit="1" customWidth="1"/>
    <col min="69" max="69" width="38.21875" bestFit="1" customWidth="1"/>
    <col min="70" max="70" width="35.44140625" bestFit="1" customWidth="1"/>
    <col min="71" max="71" width="37.21875" bestFit="1" customWidth="1"/>
    <col min="72" max="73" width="37.6640625" bestFit="1" customWidth="1"/>
    <col min="74" max="74" width="37.77734375" bestFit="1" customWidth="1"/>
    <col min="75" max="75" width="38.5546875" bestFit="1" customWidth="1"/>
    <col min="76" max="76" width="36" bestFit="1" customWidth="1"/>
    <col min="77" max="77" width="38.21875" bestFit="1" customWidth="1"/>
    <col min="78" max="78" width="35.44140625" bestFit="1" customWidth="1"/>
    <col min="79" max="79" width="37.21875" bestFit="1" customWidth="1"/>
    <col min="80" max="81" width="37.6640625" bestFit="1" customWidth="1"/>
    <col min="82" max="82" width="37.77734375" bestFit="1" customWidth="1"/>
    <col min="83" max="83" width="38.5546875" bestFit="1" customWidth="1"/>
    <col min="84" max="84" width="36" bestFit="1" customWidth="1"/>
    <col min="85" max="85" width="38.21875" bestFit="1" customWidth="1"/>
    <col min="86" max="86" width="35.44140625" bestFit="1" customWidth="1"/>
    <col min="87" max="87" width="37.21875" bestFit="1" customWidth="1"/>
    <col min="88" max="89" width="37.6640625" bestFit="1" customWidth="1"/>
    <col min="90" max="90" width="37.77734375" bestFit="1" customWidth="1"/>
    <col min="91" max="91" width="38.5546875" bestFit="1" customWidth="1"/>
    <col min="92" max="92" width="36" bestFit="1" customWidth="1"/>
    <col min="93" max="93" width="38.21875" bestFit="1" customWidth="1"/>
    <col min="94" max="94" width="35.44140625" bestFit="1" customWidth="1"/>
    <col min="95" max="95" width="37.21875" bestFit="1" customWidth="1"/>
    <col min="96" max="97" width="37.6640625" bestFit="1" customWidth="1"/>
    <col min="98" max="98" width="37.77734375" bestFit="1" customWidth="1"/>
    <col min="99" max="99" width="38.5546875" bestFit="1" customWidth="1"/>
    <col min="100" max="100" width="36" bestFit="1" customWidth="1"/>
    <col min="101" max="101" width="38.21875" bestFit="1" customWidth="1"/>
    <col min="102" max="102" width="35.44140625" bestFit="1" customWidth="1"/>
    <col min="103" max="103" width="37.21875" bestFit="1" customWidth="1"/>
    <col min="104" max="105" width="37.6640625" bestFit="1" customWidth="1"/>
    <col min="106" max="106" width="37.77734375" bestFit="1" customWidth="1"/>
    <col min="107" max="107" width="38.5546875" bestFit="1" customWidth="1"/>
    <col min="108" max="108" width="36" bestFit="1" customWidth="1"/>
    <col min="109" max="109" width="38.21875" bestFit="1" customWidth="1"/>
    <col min="110" max="110" width="35.44140625" bestFit="1" customWidth="1"/>
    <col min="111" max="111" width="37.21875" bestFit="1" customWidth="1"/>
    <col min="112" max="113" width="37.6640625" bestFit="1" customWidth="1"/>
    <col min="114" max="114" width="37.77734375" bestFit="1" customWidth="1"/>
    <col min="115" max="115" width="38.5546875" bestFit="1" customWidth="1"/>
    <col min="116" max="116" width="36" bestFit="1" customWidth="1"/>
    <col min="117" max="117" width="38.21875" bestFit="1" customWidth="1"/>
    <col min="118" max="118" width="35.44140625" bestFit="1" customWidth="1"/>
    <col min="119" max="119" width="37.21875" bestFit="1" customWidth="1"/>
    <col min="120" max="121" width="37.6640625" bestFit="1" customWidth="1"/>
    <col min="122" max="122" width="37.77734375" bestFit="1" customWidth="1"/>
    <col min="123" max="123" width="38.5546875" bestFit="1" customWidth="1"/>
    <col min="124" max="124" width="36" bestFit="1" customWidth="1"/>
    <col min="125" max="125" width="38.21875" bestFit="1" customWidth="1"/>
    <col min="126" max="126" width="35.44140625" bestFit="1" customWidth="1"/>
    <col min="127" max="127" width="37.21875" bestFit="1" customWidth="1"/>
    <col min="128" max="129" width="37.6640625" bestFit="1" customWidth="1"/>
    <col min="130" max="130" width="37.77734375" bestFit="1" customWidth="1"/>
    <col min="131" max="131" width="38.5546875" bestFit="1" customWidth="1"/>
    <col min="132" max="132" width="36" bestFit="1" customWidth="1"/>
    <col min="133" max="133" width="38.21875" bestFit="1" customWidth="1"/>
    <col min="134" max="134" width="35.44140625" bestFit="1" customWidth="1"/>
    <col min="135" max="135" width="37.21875" bestFit="1" customWidth="1"/>
    <col min="136" max="137" width="37.6640625" bestFit="1" customWidth="1"/>
    <col min="138" max="138" width="37.77734375" bestFit="1" customWidth="1"/>
    <col min="139" max="139" width="38.5546875" bestFit="1" customWidth="1"/>
    <col min="140" max="140" width="36" bestFit="1" customWidth="1"/>
    <col min="141" max="141" width="38.21875" bestFit="1" customWidth="1"/>
    <col min="142" max="142" width="35.44140625" bestFit="1" customWidth="1"/>
    <col min="143" max="143" width="37.21875" bestFit="1" customWidth="1"/>
    <col min="144" max="145" width="37.6640625" bestFit="1" customWidth="1"/>
    <col min="146" max="146" width="37.77734375" bestFit="1" customWidth="1"/>
    <col min="147" max="147" width="38.5546875" bestFit="1" customWidth="1"/>
    <col min="148" max="148" width="36" bestFit="1" customWidth="1"/>
    <col min="149" max="149" width="38.21875" bestFit="1" customWidth="1"/>
    <col min="150" max="150" width="35.44140625" bestFit="1" customWidth="1"/>
    <col min="151" max="151" width="37.21875" bestFit="1" customWidth="1"/>
    <col min="152" max="153" width="37.6640625" bestFit="1" customWidth="1"/>
    <col min="154" max="154" width="37.77734375" bestFit="1" customWidth="1"/>
    <col min="155" max="155" width="38.5546875" bestFit="1" customWidth="1"/>
    <col min="156" max="156" width="36" bestFit="1" customWidth="1"/>
    <col min="157" max="157" width="38.21875" bestFit="1" customWidth="1"/>
    <col min="158" max="158" width="35.44140625" bestFit="1" customWidth="1"/>
    <col min="159" max="159" width="37.21875" bestFit="1" customWidth="1"/>
    <col min="160" max="161" width="37.6640625" bestFit="1" customWidth="1"/>
    <col min="162" max="162" width="37.77734375" bestFit="1" customWidth="1"/>
    <col min="163" max="163" width="38.5546875" bestFit="1" customWidth="1"/>
    <col min="164" max="164" width="36" bestFit="1" customWidth="1"/>
    <col min="165" max="165" width="38.21875" bestFit="1" customWidth="1"/>
    <col min="166" max="166" width="35.44140625" bestFit="1" customWidth="1"/>
    <col min="167" max="167" width="37.21875" bestFit="1" customWidth="1"/>
    <col min="168" max="169" width="37.6640625" bestFit="1" customWidth="1"/>
    <col min="170" max="170" width="37.77734375" bestFit="1" customWidth="1"/>
    <col min="171" max="171" width="38.5546875" bestFit="1" customWidth="1"/>
    <col min="172" max="172" width="36" bestFit="1" customWidth="1"/>
    <col min="173" max="173" width="38.21875" bestFit="1" customWidth="1"/>
    <col min="174" max="174" width="35.44140625" bestFit="1" customWidth="1"/>
    <col min="175" max="175" width="37.21875" bestFit="1" customWidth="1"/>
    <col min="176" max="177" width="37.6640625" bestFit="1" customWidth="1"/>
    <col min="178" max="178" width="37.77734375" bestFit="1" customWidth="1"/>
    <col min="179" max="179" width="38.5546875" bestFit="1" customWidth="1"/>
    <col min="180" max="180" width="36" bestFit="1" customWidth="1"/>
    <col min="181" max="181" width="38.21875" bestFit="1" customWidth="1"/>
    <col min="182" max="182" width="35.44140625" bestFit="1" customWidth="1"/>
    <col min="183" max="183" width="37.21875" bestFit="1" customWidth="1"/>
    <col min="184" max="185" width="37.6640625" bestFit="1" customWidth="1"/>
    <col min="186" max="186" width="37.77734375" bestFit="1" customWidth="1"/>
    <col min="187" max="187" width="38.5546875" bestFit="1" customWidth="1"/>
    <col min="188" max="188" width="36" bestFit="1" customWidth="1"/>
    <col min="189" max="189" width="38.21875" bestFit="1" customWidth="1"/>
    <col min="190" max="190" width="35.44140625" bestFit="1" customWidth="1"/>
    <col min="191" max="191" width="37.21875" bestFit="1" customWidth="1"/>
    <col min="192" max="193" width="37.6640625" bestFit="1" customWidth="1"/>
    <col min="194" max="194" width="37.77734375" bestFit="1" customWidth="1"/>
    <col min="195" max="195" width="38.5546875" bestFit="1" customWidth="1"/>
    <col min="196" max="196" width="36" bestFit="1" customWidth="1"/>
    <col min="197" max="197" width="38.21875" bestFit="1" customWidth="1"/>
    <col min="198" max="198" width="35.44140625" bestFit="1" customWidth="1"/>
    <col min="199" max="199" width="37.21875" bestFit="1" customWidth="1"/>
    <col min="200" max="201" width="37.6640625" bestFit="1" customWidth="1"/>
    <col min="202" max="202" width="37.77734375" bestFit="1" customWidth="1"/>
    <col min="203" max="203" width="38.5546875" bestFit="1" customWidth="1"/>
    <col min="204" max="204" width="36" bestFit="1" customWidth="1"/>
    <col min="205" max="205" width="38.21875" bestFit="1" customWidth="1"/>
    <col min="206" max="206" width="35.44140625" bestFit="1" customWidth="1"/>
    <col min="207" max="207" width="37.21875" bestFit="1" customWidth="1"/>
    <col min="208" max="209" width="37.6640625" bestFit="1" customWidth="1"/>
    <col min="210" max="210" width="37.77734375" bestFit="1" customWidth="1"/>
    <col min="211" max="211" width="38.5546875" bestFit="1" customWidth="1"/>
    <col min="212" max="212" width="36" bestFit="1" customWidth="1"/>
    <col min="213" max="213" width="38.21875" bestFit="1" customWidth="1"/>
    <col min="214" max="214" width="35.44140625" bestFit="1" customWidth="1"/>
    <col min="215" max="215" width="37.21875" bestFit="1" customWidth="1"/>
    <col min="216" max="217" width="37.6640625" bestFit="1" customWidth="1"/>
    <col min="218" max="218" width="37.77734375" bestFit="1" customWidth="1"/>
    <col min="219" max="219" width="38.5546875" bestFit="1" customWidth="1"/>
    <col min="220" max="220" width="36" bestFit="1" customWidth="1"/>
    <col min="221" max="221" width="38.21875" bestFit="1" customWidth="1"/>
    <col min="222" max="222" width="35.44140625" bestFit="1" customWidth="1"/>
    <col min="223" max="223" width="37.21875" bestFit="1" customWidth="1"/>
    <col min="224" max="225" width="37.6640625" bestFit="1" customWidth="1"/>
    <col min="226" max="226" width="37.77734375" bestFit="1" customWidth="1"/>
    <col min="227" max="227" width="38.5546875" bestFit="1" customWidth="1"/>
    <col min="228" max="228" width="36" bestFit="1" customWidth="1"/>
    <col min="229" max="229" width="38.21875" bestFit="1" customWidth="1"/>
    <col min="230" max="230" width="35.44140625" bestFit="1" customWidth="1"/>
    <col min="231" max="231" width="37.21875" bestFit="1" customWidth="1"/>
    <col min="232" max="233" width="37.6640625" bestFit="1" customWidth="1"/>
    <col min="234" max="234" width="37.77734375" bestFit="1" customWidth="1"/>
    <col min="235" max="235" width="38.5546875" bestFit="1" customWidth="1"/>
    <col min="236" max="236" width="36" bestFit="1" customWidth="1"/>
    <col min="237" max="237" width="38.21875" bestFit="1" customWidth="1"/>
    <col min="238" max="238" width="35.44140625" bestFit="1" customWidth="1"/>
    <col min="239" max="239" width="37.21875" bestFit="1" customWidth="1"/>
    <col min="240" max="241" width="37.6640625" bestFit="1" customWidth="1"/>
    <col min="242" max="242" width="37.77734375" bestFit="1" customWidth="1"/>
    <col min="243" max="243" width="38.5546875" bestFit="1" customWidth="1"/>
    <col min="244" max="244" width="36" bestFit="1" customWidth="1"/>
    <col min="245" max="245" width="38.21875" bestFit="1" customWidth="1"/>
    <col min="246" max="246" width="35.44140625" bestFit="1" customWidth="1"/>
    <col min="247" max="247" width="37.21875" bestFit="1" customWidth="1"/>
    <col min="248" max="249" width="37.6640625" bestFit="1" customWidth="1"/>
    <col min="250" max="250" width="37.77734375" bestFit="1" customWidth="1"/>
    <col min="251" max="251" width="38.5546875" bestFit="1" customWidth="1"/>
    <col min="252" max="252" width="36" bestFit="1" customWidth="1"/>
    <col min="253" max="253" width="38.21875" bestFit="1" customWidth="1"/>
    <col min="254" max="254" width="35.44140625" bestFit="1" customWidth="1"/>
    <col min="255" max="255" width="37.21875" bestFit="1" customWidth="1"/>
    <col min="256" max="257" width="37.6640625" bestFit="1" customWidth="1"/>
    <col min="258" max="258" width="37.77734375" bestFit="1" customWidth="1"/>
    <col min="259" max="259" width="38.5546875" bestFit="1" customWidth="1"/>
    <col min="260" max="260" width="36" bestFit="1" customWidth="1"/>
    <col min="261" max="261" width="38.21875" bestFit="1" customWidth="1"/>
    <col min="262" max="262" width="35.44140625" bestFit="1" customWidth="1"/>
    <col min="263" max="263" width="37.21875" bestFit="1" customWidth="1"/>
    <col min="264" max="265" width="37.6640625" bestFit="1" customWidth="1"/>
    <col min="266" max="266" width="37.77734375" bestFit="1" customWidth="1"/>
    <col min="267" max="267" width="38.5546875" bestFit="1" customWidth="1"/>
    <col min="268" max="268" width="36" bestFit="1" customWidth="1"/>
    <col min="269" max="269" width="38.21875" bestFit="1" customWidth="1"/>
    <col min="270" max="270" width="35.44140625" bestFit="1" customWidth="1"/>
    <col min="271" max="271" width="37.21875" bestFit="1" customWidth="1"/>
    <col min="272" max="273" width="37.6640625" bestFit="1" customWidth="1"/>
    <col min="274" max="274" width="37.77734375" bestFit="1" customWidth="1"/>
    <col min="275" max="275" width="38.5546875" bestFit="1" customWidth="1"/>
    <col min="276" max="276" width="36" bestFit="1" customWidth="1"/>
    <col min="277" max="277" width="38.21875" bestFit="1" customWidth="1"/>
    <col min="278" max="278" width="35.44140625" bestFit="1" customWidth="1"/>
    <col min="279" max="279" width="37.21875" bestFit="1" customWidth="1"/>
    <col min="280" max="281" width="37.6640625" bestFit="1" customWidth="1"/>
    <col min="282" max="282" width="37.77734375" bestFit="1" customWidth="1"/>
    <col min="283" max="283" width="38.5546875" bestFit="1" customWidth="1"/>
    <col min="284" max="284" width="36" bestFit="1" customWidth="1"/>
    <col min="285" max="285" width="38.21875" bestFit="1" customWidth="1"/>
    <col min="286" max="286" width="35.44140625" bestFit="1" customWidth="1"/>
    <col min="287" max="287" width="37.21875" bestFit="1" customWidth="1"/>
    <col min="288" max="289" width="37.6640625" bestFit="1" customWidth="1"/>
    <col min="290" max="290" width="37.77734375" bestFit="1" customWidth="1"/>
    <col min="291" max="291" width="38.5546875" bestFit="1" customWidth="1"/>
    <col min="292" max="292" width="36" bestFit="1" customWidth="1"/>
    <col min="293" max="293" width="38.21875" bestFit="1" customWidth="1"/>
    <col min="294" max="294" width="35.44140625" bestFit="1" customWidth="1"/>
    <col min="295" max="295" width="37.21875" bestFit="1" customWidth="1"/>
    <col min="296" max="297" width="37.6640625" bestFit="1" customWidth="1"/>
    <col min="298" max="298" width="37.77734375" bestFit="1" customWidth="1"/>
    <col min="299" max="299" width="38.5546875" bestFit="1" customWidth="1"/>
    <col min="300" max="300" width="36" bestFit="1" customWidth="1"/>
    <col min="301" max="301" width="38.21875" bestFit="1" customWidth="1"/>
    <col min="302" max="302" width="35.44140625" bestFit="1" customWidth="1"/>
    <col min="303" max="303" width="37.21875" bestFit="1" customWidth="1"/>
    <col min="304" max="305" width="37.6640625" bestFit="1" customWidth="1"/>
    <col min="306" max="306" width="37.77734375" bestFit="1" customWidth="1"/>
    <col min="307" max="307" width="38.5546875" bestFit="1" customWidth="1"/>
    <col min="308" max="308" width="36" bestFit="1" customWidth="1"/>
    <col min="309" max="309" width="38.21875" bestFit="1" customWidth="1"/>
    <col min="310" max="310" width="35.44140625" bestFit="1" customWidth="1"/>
    <col min="311" max="311" width="37.21875" bestFit="1" customWidth="1"/>
    <col min="312" max="313" width="37.6640625" bestFit="1" customWidth="1"/>
    <col min="314" max="314" width="37.77734375" bestFit="1" customWidth="1"/>
    <col min="315" max="315" width="38.5546875" bestFit="1" customWidth="1"/>
    <col min="316" max="316" width="36" bestFit="1" customWidth="1"/>
    <col min="317" max="317" width="38.21875" bestFit="1" customWidth="1"/>
    <col min="318" max="318" width="35.44140625" bestFit="1" customWidth="1"/>
    <col min="319" max="319" width="37.21875" bestFit="1" customWidth="1"/>
    <col min="320" max="321" width="37.6640625" bestFit="1" customWidth="1"/>
    <col min="322" max="322" width="37.77734375" bestFit="1" customWidth="1"/>
    <col min="323" max="323" width="38.5546875" bestFit="1" customWidth="1"/>
    <col min="324" max="324" width="36" bestFit="1" customWidth="1"/>
    <col min="325" max="325" width="38.21875" bestFit="1" customWidth="1"/>
    <col min="326" max="326" width="35.44140625" bestFit="1" customWidth="1"/>
    <col min="327" max="327" width="37.21875" bestFit="1" customWidth="1"/>
    <col min="328" max="329" width="37.6640625" bestFit="1" customWidth="1"/>
    <col min="330" max="330" width="37.77734375" bestFit="1" customWidth="1"/>
    <col min="331" max="331" width="38.5546875" bestFit="1" customWidth="1"/>
    <col min="332" max="332" width="36" bestFit="1" customWidth="1"/>
    <col min="333" max="333" width="38.21875" bestFit="1" customWidth="1"/>
    <col min="334" max="334" width="35.44140625" bestFit="1" customWidth="1"/>
    <col min="335" max="335" width="37.21875" bestFit="1" customWidth="1"/>
    <col min="336" max="337" width="37.6640625" bestFit="1" customWidth="1"/>
    <col min="338" max="338" width="37.77734375" bestFit="1" customWidth="1"/>
    <col min="339" max="339" width="38.5546875" bestFit="1" customWidth="1"/>
    <col min="340" max="340" width="36" bestFit="1" customWidth="1"/>
    <col min="341" max="341" width="38.21875" bestFit="1" customWidth="1"/>
    <col min="342" max="342" width="35.44140625" bestFit="1" customWidth="1"/>
    <col min="343" max="343" width="37.21875" bestFit="1" customWidth="1"/>
    <col min="344" max="345" width="37.6640625" bestFit="1" customWidth="1"/>
    <col min="346" max="346" width="37.77734375" bestFit="1" customWidth="1"/>
    <col min="347" max="347" width="38.5546875" bestFit="1" customWidth="1"/>
    <col min="348" max="348" width="36" bestFit="1" customWidth="1"/>
    <col min="349" max="349" width="38.21875" bestFit="1" customWidth="1"/>
    <col min="350" max="350" width="35.44140625" bestFit="1" customWidth="1"/>
    <col min="351" max="351" width="37.21875" bestFit="1" customWidth="1"/>
    <col min="352" max="353" width="37.6640625" bestFit="1" customWidth="1"/>
    <col min="354" max="354" width="37.77734375" bestFit="1" customWidth="1"/>
    <col min="355" max="355" width="38.5546875" bestFit="1" customWidth="1"/>
    <col min="356" max="356" width="36" bestFit="1" customWidth="1"/>
    <col min="357" max="357" width="38.21875" bestFit="1" customWidth="1"/>
    <col min="358" max="358" width="35.44140625" bestFit="1" customWidth="1"/>
    <col min="359" max="359" width="37.21875" bestFit="1" customWidth="1"/>
    <col min="360" max="361" width="37.6640625" bestFit="1" customWidth="1"/>
    <col min="362" max="362" width="37.77734375" bestFit="1" customWidth="1"/>
    <col min="363" max="363" width="38.5546875" bestFit="1" customWidth="1"/>
    <col min="364" max="364" width="36" bestFit="1" customWidth="1"/>
    <col min="365" max="365" width="38.21875" bestFit="1" customWidth="1"/>
    <col min="366" max="366" width="35.44140625" bestFit="1" customWidth="1"/>
    <col min="367" max="367" width="37.21875" bestFit="1" customWidth="1"/>
    <col min="368" max="369" width="37.6640625" bestFit="1" customWidth="1"/>
    <col min="370" max="370" width="37.77734375" bestFit="1" customWidth="1"/>
    <col min="371" max="371" width="38.5546875" bestFit="1" customWidth="1"/>
    <col min="372" max="372" width="36" bestFit="1" customWidth="1"/>
    <col min="373" max="373" width="38.21875" bestFit="1" customWidth="1"/>
    <col min="374" max="374" width="35.44140625" bestFit="1" customWidth="1"/>
    <col min="375" max="375" width="37.21875" bestFit="1" customWidth="1"/>
    <col min="376" max="377" width="37.6640625" bestFit="1" customWidth="1"/>
    <col min="378" max="378" width="37.77734375" bestFit="1" customWidth="1"/>
    <col min="379" max="379" width="38.5546875" bestFit="1" customWidth="1"/>
    <col min="380" max="380" width="36" bestFit="1" customWidth="1"/>
    <col min="381" max="381" width="38.21875" bestFit="1" customWidth="1"/>
    <col min="382" max="382" width="35.44140625" bestFit="1" customWidth="1"/>
    <col min="383" max="383" width="37.21875" bestFit="1" customWidth="1"/>
    <col min="384" max="385" width="37.6640625" bestFit="1" customWidth="1"/>
    <col min="386" max="386" width="37.77734375" bestFit="1" customWidth="1"/>
    <col min="387" max="387" width="38.5546875" bestFit="1" customWidth="1"/>
    <col min="388" max="388" width="36" bestFit="1" customWidth="1"/>
    <col min="389" max="389" width="38.21875" bestFit="1" customWidth="1"/>
    <col min="390" max="390" width="35.44140625" bestFit="1" customWidth="1"/>
    <col min="391" max="391" width="37.21875" bestFit="1" customWidth="1"/>
    <col min="392" max="393" width="37.6640625" bestFit="1" customWidth="1"/>
    <col min="394" max="394" width="42.5546875" bestFit="1" customWidth="1"/>
    <col min="395" max="395" width="43.33203125" bestFit="1" customWidth="1"/>
    <col min="396" max="396" width="40.77734375" bestFit="1" customWidth="1"/>
    <col min="397" max="397" width="43" bestFit="1" customWidth="1"/>
    <col min="398" max="398" width="40.21875" bestFit="1" customWidth="1"/>
    <col min="399" max="399" width="42" bestFit="1" customWidth="1"/>
    <col min="400" max="401" width="42.44140625" bestFit="1" customWidth="1"/>
  </cols>
  <sheetData>
    <row r="7" spans="1:5" x14ac:dyDescent="0.3">
      <c r="A7" s="3" t="s">
        <v>79</v>
      </c>
      <c r="B7" t="s">
        <v>84</v>
      </c>
    </row>
    <row r="8" spans="1:5" x14ac:dyDescent="0.3">
      <c r="A8" s="5" t="s">
        <v>36</v>
      </c>
      <c r="B8" s="2">
        <v>36375442</v>
      </c>
      <c r="D8" t="str">
        <f>A8</f>
        <v>Serv. Culturales Derecho Hab Publ</v>
      </c>
      <c r="E8">
        <f>GETPIVOTDATA("Total de cada servicio",$A$7,"Nombre Servicio","Serv. Culturales Derecho Hab Publ")</f>
        <v>36375442</v>
      </c>
    </row>
    <row r="9" spans="1:5" x14ac:dyDescent="0.3">
      <c r="A9" s="5" t="s">
        <v>37</v>
      </c>
      <c r="B9" s="2">
        <v>11512451</v>
      </c>
    </row>
    <row r="10" spans="1:5" x14ac:dyDescent="0.3">
      <c r="A10" s="5" t="s">
        <v>42</v>
      </c>
      <c r="B10" s="2">
        <v>3250887</v>
      </c>
    </row>
    <row r="11" spans="1:5" x14ac:dyDescent="0.3">
      <c r="A11" s="5" t="s">
        <v>40</v>
      </c>
      <c r="B11" s="2">
        <v>2175717</v>
      </c>
    </row>
    <row r="12" spans="1:5" x14ac:dyDescent="0.3">
      <c r="A12" s="5" t="s">
        <v>41</v>
      </c>
      <c r="B12" s="2">
        <v>1962313</v>
      </c>
    </row>
    <row r="13" spans="1:5" x14ac:dyDescent="0.3">
      <c r="A13" s="5" t="s">
        <v>38</v>
      </c>
      <c r="B13" s="2">
        <v>661401</v>
      </c>
    </row>
    <row r="14" spans="1:5" x14ac:dyDescent="0.3">
      <c r="A14" s="5" t="s">
        <v>43</v>
      </c>
      <c r="B14" s="2">
        <v>654994</v>
      </c>
    </row>
    <row r="15" spans="1:5" x14ac:dyDescent="0.3">
      <c r="A15" s="5" t="s">
        <v>39</v>
      </c>
      <c r="B15" s="2">
        <v>322484</v>
      </c>
    </row>
    <row r="16" spans="1:5" x14ac:dyDescent="0.3">
      <c r="A16" s="5" t="s">
        <v>60</v>
      </c>
      <c r="B16" s="2">
        <v>56915689</v>
      </c>
      <c r="E16">
        <f>GETPIVOTDATA("Total de cada servicio",$A$7)</f>
        <v>56915689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A35B-1DEE-4E63-B176-45BEFEC88566}">
  <dimension ref="A1"/>
  <sheetViews>
    <sheetView tabSelected="1"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servicios_cult_soc_dep_rec_isss</vt:lpstr>
      <vt:lpstr>Servios deportivos por año</vt:lpstr>
      <vt:lpstr>Comp entre cul vs dep vs soc</vt:lpstr>
      <vt:lpstr>Ranking de delegaciones</vt:lpstr>
      <vt:lpstr>Ranking de Servicios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mariano</dc:creator>
  <cp:lastModifiedBy>Said Mariano</cp:lastModifiedBy>
  <dcterms:created xsi:type="dcterms:W3CDTF">2025-11-18T17:33:19Z</dcterms:created>
  <dcterms:modified xsi:type="dcterms:W3CDTF">2025-11-21T19:37:08Z</dcterms:modified>
</cp:coreProperties>
</file>