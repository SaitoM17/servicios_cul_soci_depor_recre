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shboard\"/>
    </mc:Choice>
  </mc:AlternateContent>
  <xr:revisionPtr revIDLastSave="0" documentId="8_{15019FF8-4902-4F16-BE4D-33FA2BC777E0}" xr6:coauthVersionLast="47" xr6:coauthVersionMax="47" xr10:uidLastSave="{00000000-0000-0000-0000-000000000000}"/>
  <bookViews>
    <workbookView xWindow="-28908" yWindow="-108" windowWidth="29016" windowHeight="15816" activeTab="5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  <sheet name="Ranking de Servicios" sheetId="6" r:id="rId5"/>
    <sheet name="KPI's" sheetId="5" r:id="rId6"/>
  </sheets>
  <calcPr calcId="191029"/>
  <pivotCaches>
    <pivotCache cacheId="1" r:id="rId7"/>
    <pivotCache cacheId="5" r:id="rId8"/>
  </pivotCaches>
  <fileRecoveryPr repairLoad="1"/>
</workbook>
</file>

<file path=xl/calcChain.xml><?xml version="1.0" encoding="utf-8"?>
<calcChain xmlns="http://schemas.openxmlformats.org/spreadsheetml/2006/main">
  <c r="D8" i="6" l="1"/>
  <c r="C499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498" i="1"/>
  <c r="D498" i="1"/>
  <c r="E498" i="1"/>
  <c r="F498" i="1"/>
  <c r="G498" i="1"/>
  <c r="H498" i="1"/>
  <c r="I498" i="1"/>
  <c r="J498" i="1"/>
  <c r="D499" i="1"/>
  <c r="E499" i="1"/>
  <c r="F499" i="1"/>
  <c r="G499" i="1"/>
  <c r="H499" i="1"/>
  <c r="I499" i="1"/>
  <c r="J499" i="1"/>
  <c r="A28" i="4"/>
  <c r="D34" i="4"/>
  <c r="L203" i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  <c r="E34" i="4"/>
  <c r="B28" i="4"/>
  <c r="E16" i="6"/>
  <c r="E8" i="6"/>
</calcChain>
</file>

<file path=xl/sharedStrings.xml><?xml version="1.0" encoding="utf-8"?>
<sst xmlns="http://schemas.openxmlformats.org/spreadsheetml/2006/main" count="606" uniqueCount="85">
  <si>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</si>
  <si>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</si>
  <si>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</si>
  <si>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</si>
  <si>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</si>
  <si>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</si>
  <si>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</si>
  <si>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</si>
  <si>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</si>
  <si>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</si>
  <si>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</si>
  <si>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</si>
  <si>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</si>
  <si>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</si>
  <si>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</si>
  <si>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</si>
  <si>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</si>
  <si>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</si>
  <si>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</si>
  <si>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</si>
  <si>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</si>
  <si>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</si>
  <si>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</si>
  <si>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</si>
  <si>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</si>
  <si>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</si>
  <si>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</si>
  <si>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</si>
  <si>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</si>
  <si>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</si>
  <si>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</si>
  <si>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</si>
  <si>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</si>
  <si>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</si>
  <si>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</si>
  <si>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</si>
  <si>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</si>
  <si>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</si>
  <si>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</si>
  <si>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</si>
  <si>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</si>
  <si>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</si>
  <si>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</si>
  <si>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</si>
  <si>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</si>
  <si>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</si>
  <si>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</si>
  <si>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</si>
  <si>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</si>
  <si>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</si>
  <si>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</si>
  <si>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</si>
  <si>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</si>
  <si>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</si>
  <si>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</si>
  <si>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</si>
  <si>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</si>
  <si>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</si>
  <si>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</si>
  <si>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</si>
  <si>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</si>
  <si>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</si>
  <si>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</si>
  <si>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</si>
  <si>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</si>
  <si>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</si>
  <si>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</si>
  <si>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</si>
  <si>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</si>
  <si>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</si>
  <si>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</si>
  <si>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</si>
  <si>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</si>
  <si>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</si>
  <si>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</si>
  <si>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</si>
  <si>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</si>
  <si>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</si>
  <si>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</si>
  <si>
    <t>Etiquetas de fila</t>
  </si>
  <si>
    <t>Suma de Suma de todos los Servicios</t>
  </si>
  <si>
    <t>Total</t>
  </si>
  <si>
    <t>Nombre Servicio</t>
  </si>
  <si>
    <t>Total de cada servicio</t>
  </si>
  <si>
    <t>Suma de Total de cada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</si>
</sst>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[Dashboard(Recuperado automáticamente).xlsx]Servios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[Dashboard(Recuperado automáticamente).xlsx]Comp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[Dashboard(Recuperado automáticamente).xlsx]Ranking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F-4888-AF57-DC71DDD60C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F-4888-AF57-DC71DDD60C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F-4888-AF57-DC71DDD60C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F-4888-AF57-DC71DDD60C9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F-4888-AF57-DC71DDD60C9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F-4888-AF57-DC71DDD60C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F-4888-AF57-DC71DDD60C9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5F-4888-AF57-DC71DDD60C9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5F-4888-AF57-DC71DDD60C9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754380</xdr:colOff>
      <xdr:row>1</xdr:row>
      <xdr:rowOff>121920</xdr:rowOff>
    </xdr:from>
    <xdr:to>
      <xdr:col>7</xdr:col>
      <xdr:colOff>91440</xdr:colOff>
      <xdr:row>7</xdr:row>
      <xdr:rowOff>114300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455E126-35E3-64B0-74EF-9539C250CDF3}"/>
            </a:ext>
          </a:extLst>
        </xdr:cNvPr>
        <xdr:cNvSpPr/>
      </xdr:nvSpPr>
      <xdr:spPr>
        <a:xfrm>
          <a:off x="1546860" y="3048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22860</xdr:colOff>
      <xdr:row>2</xdr:row>
      <xdr:rowOff>53340</xdr:rowOff>
    </xdr:from>
    <xdr:to>
      <xdr:col>7</xdr:col>
      <xdr:colOff>15240</xdr:colOff>
      <xdr:row>4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AA9D155-B202-BE03-C121-3275AB0BBA20}"/>
            </a:ext>
          </a:extLst>
        </xdr:cNvPr>
        <xdr:cNvSpPr txBox="1"/>
      </xdr:nvSpPr>
      <xdr:spPr>
        <a:xfrm>
          <a:off x="1607820" y="4191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</xdr:col>
      <xdr:colOff>784860</xdr:colOff>
      <xdr:row>10</xdr:row>
      <xdr:rowOff>121920</xdr:rowOff>
    </xdr:from>
    <xdr:to>
      <xdr:col>7</xdr:col>
      <xdr:colOff>121920</xdr:colOff>
      <xdr:row>16</xdr:row>
      <xdr:rowOff>114300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72A16AD-55BB-45DA-B3A6-1E291DE2AB5A}"/>
            </a:ext>
          </a:extLst>
        </xdr:cNvPr>
        <xdr:cNvSpPr/>
      </xdr:nvSpPr>
      <xdr:spPr>
        <a:xfrm>
          <a:off x="1577340" y="195072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53340</xdr:colOff>
      <xdr:row>11</xdr:row>
      <xdr:rowOff>53340</xdr:rowOff>
    </xdr:from>
    <xdr:to>
      <xdr:col>7</xdr:col>
      <xdr:colOff>45720</xdr:colOff>
      <xdr:row>13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BC9A43E-8C39-4160-91BE-E1BC51F6A885}"/>
            </a:ext>
          </a:extLst>
        </xdr:cNvPr>
        <xdr:cNvSpPr txBox="1"/>
      </xdr:nvSpPr>
      <xdr:spPr>
        <a:xfrm>
          <a:off x="1638300" y="206502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4</xdr:col>
      <xdr:colOff>655320</xdr:colOff>
      <xdr:row>13</xdr:row>
      <xdr:rowOff>53340</xdr:rowOff>
    </xdr:from>
    <xdr:to>
      <xdr:col>7</xdr:col>
      <xdr:colOff>45720</xdr:colOff>
      <xdr:row>16</xdr:row>
      <xdr:rowOff>7620</xdr:rowOff>
    </xdr:to>
    <xdr:sp macro="" textlink="'Ranking de delegaciones'!E34">
      <xdr:nvSpPr>
        <xdr:cNvPr id="9" name="CuadroTexto 8">
          <a:extLst>
            <a:ext uri="{FF2B5EF4-FFF2-40B4-BE49-F238E27FC236}">
              <a16:creationId xmlns:a16="http://schemas.microsoft.com/office/drawing/2014/main" id="{681F35E1-A3F3-41BB-85EA-CE8349ED9BF9}"/>
            </a:ext>
          </a:extLst>
        </xdr:cNvPr>
        <xdr:cNvSpPr txBox="1"/>
      </xdr:nvSpPr>
      <xdr:spPr>
        <a:xfrm>
          <a:off x="3825240" y="24307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</xdr:colOff>
      <xdr:row>1</xdr:row>
      <xdr:rowOff>83820</xdr:rowOff>
    </xdr:from>
    <xdr:to>
      <xdr:col>13</xdr:col>
      <xdr:colOff>137160</xdr:colOff>
      <xdr:row>7</xdr:row>
      <xdr:rowOff>76200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9702E67-9B5D-4EC1-ACBD-98618394CDBD}"/>
            </a:ext>
          </a:extLst>
        </xdr:cNvPr>
        <xdr:cNvSpPr/>
      </xdr:nvSpPr>
      <xdr:spPr>
        <a:xfrm>
          <a:off x="6347460" y="2667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68580</xdr:colOff>
      <xdr:row>2</xdr:row>
      <xdr:rowOff>15240</xdr:rowOff>
    </xdr:from>
    <xdr:to>
      <xdr:col>13</xdr:col>
      <xdr:colOff>60960</xdr:colOff>
      <xdr:row>3</xdr:row>
      <xdr:rowOff>144780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FC6A63D-09D9-4DDC-8482-A90863D715CD}"/>
            </a:ext>
          </a:extLst>
        </xdr:cNvPr>
        <xdr:cNvSpPr txBox="1"/>
      </xdr:nvSpPr>
      <xdr:spPr>
        <a:xfrm>
          <a:off x="6408420" y="3810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739140</xdr:colOff>
      <xdr:row>10</xdr:row>
      <xdr:rowOff>68580</xdr:rowOff>
    </xdr:from>
    <xdr:to>
      <xdr:col>13</xdr:col>
      <xdr:colOff>76200</xdr:colOff>
      <xdr:row>16</xdr:row>
      <xdr:rowOff>60960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6EC0248D-EB84-4C8B-85BD-ABCA7218BE6A}"/>
            </a:ext>
          </a:extLst>
        </xdr:cNvPr>
        <xdr:cNvSpPr/>
      </xdr:nvSpPr>
      <xdr:spPr>
        <a:xfrm>
          <a:off x="6286500" y="189738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7620</xdr:colOff>
      <xdr:row>11</xdr:row>
      <xdr:rowOff>0</xdr:rowOff>
    </xdr:from>
    <xdr:to>
      <xdr:col>13</xdr:col>
      <xdr:colOff>0</xdr:colOff>
      <xdr:row>12</xdr:row>
      <xdr:rowOff>129540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6C36264-CCDF-4096-B3CD-236649DDDB55}"/>
            </a:ext>
          </a:extLst>
        </xdr:cNvPr>
        <xdr:cNvSpPr txBox="1"/>
      </xdr:nvSpPr>
      <xdr:spPr>
        <a:xfrm>
          <a:off x="6347460" y="201168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121920</xdr:colOff>
      <xdr:row>12</xdr:row>
      <xdr:rowOff>175260</xdr:rowOff>
    </xdr:from>
    <xdr:to>
      <xdr:col>11</xdr:col>
      <xdr:colOff>640080</xdr:colOff>
      <xdr:row>15</xdr:row>
      <xdr:rowOff>129540</xdr:rowOff>
    </xdr:to>
    <xdr:sp macro="" textlink="'Ranking de Servicios'!E16">
      <xdr:nvSpPr>
        <xdr:cNvPr id="15" name="CuadroTexto 14">
          <a:extLst>
            <a:ext uri="{FF2B5EF4-FFF2-40B4-BE49-F238E27FC236}">
              <a16:creationId xmlns:a16="http://schemas.microsoft.com/office/drawing/2014/main" id="{680396CA-F071-40FB-A229-3E21C5E9ED9D}"/>
            </a:ext>
          </a:extLst>
        </xdr:cNvPr>
        <xdr:cNvSpPr txBox="1"/>
      </xdr:nvSpPr>
      <xdr:spPr>
        <a:xfrm>
          <a:off x="7254240" y="2369820"/>
          <a:ext cx="210312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38100</xdr:colOff>
      <xdr:row>13</xdr:row>
      <xdr:rowOff>53340</xdr:rowOff>
    </xdr:from>
    <xdr:to>
      <xdr:col>4</xdr:col>
      <xdr:colOff>342900</xdr:colOff>
      <xdr:row>16</xdr:row>
      <xdr:rowOff>7620</xdr:rowOff>
    </xdr:to>
    <xdr:sp macro="" textlink="'Ranking de delegaciones'!D34">
      <xdr:nvSpPr>
        <xdr:cNvPr id="16" name="CuadroTexto 15">
          <a:extLst>
            <a:ext uri="{FF2B5EF4-FFF2-40B4-BE49-F238E27FC236}">
              <a16:creationId xmlns:a16="http://schemas.microsoft.com/office/drawing/2014/main" id="{218B5F3B-AF3B-4B0A-899D-9E0BF4329C2E}"/>
            </a:ext>
          </a:extLst>
        </xdr:cNvPr>
        <xdr:cNvSpPr txBox="1"/>
      </xdr:nvSpPr>
      <xdr:spPr>
        <a:xfrm>
          <a:off x="1623060" y="24307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624840</xdr:colOff>
      <xdr:row>4</xdr:row>
      <xdr:rowOff>38100</xdr:rowOff>
    </xdr:from>
    <xdr:to>
      <xdr:col>7</xdr:col>
      <xdr:colOff>15240</xdr:colOff>
      <xdr:row>6</xdr:row>
      <xdr:rowOff>175260</xdr:rowOff>
    </xdr:to>
    <xdr:sp macro="" textlink="'Ranking de delegaciones'!B28">
      <xdr:nvSpPr>
        <xdr:cNvPr id="17" name="CuadroTexto 16">
          <a:extLst>
            <a:ext uri="{FF2B5EF4-FFF2-40B4-BE49-F238E27FC236}">
              <a16:creationId xmlns:a16="http://schemas.microsoft.com/office/drawing/2014/main" id="{0618113B-8F2D-4DE1-B08E-EC156AA89D47}"/>
            </a:ext>
          </a:extLst>
        </xdr:cNvPr>
        <xdr:cNvSpPr txBox="1"/>
      </xdr:nvSpPr>
      <xdr:spPr>
        <a:xfrm>
          <a:off x="3794760" y="7696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15240</xdr:colOff>
      <xdr:row>4</xdr:row>
      <xdr:rowOff>38100</xdr:rowOff>
    </xdr:from>
    <xdr:to>
      <xdr:col>4</xdr:col>
      <xdr:colOff>320040</xdr:colOff>
      <xdr:row>6</xdr:row>
      <xdr:rowOff>175260</xdr:rowOff>
    </xdr:to>
    <xdr:sp macro="" textlink="'Ranking de delegaciones'!A28">
      <xdr:nvSpPr>
        <xdr:cNvPr id="18" name="CuadroTexto 17">
          <a:extLst>
            <a:ext uri="{FF2B5EF4-FFF2-40B4-BE49-F238E27FC236}">
              <a16:creationId xmlns:a16="http://schemas.microsoft.com/office/drawing/2014/main" id="{77278733-4FDC-4438-88ED-B9510EAF48FF}"/>
            </a:ext>
          </a:extLst>
        </xdr:cNvPr>
        <xdr:cNvSpPr txBox="1"/>
      </xdr:nvSpPr>
      <xdr:spPr>
        <a:xfrm>
          <a:off x="1600200" y="7696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662940</xdr:colOff>
      <xdr:row>4</xdr:row>
      <xdr:rowOff>0</xdr:rowOff>
    </xdr:from>
    <xdr:to>
      <xdr:col>13</xdr:col>
      <xdr:colOff>53340</xdr:colOff>
      <xdr:row>6</xdr:row>
      <xdr:rowOff>137160</xdr:rowOff>
    </xdr:to>
    <xdr:sp macro="" textlink="'Ranking de Servicios'!E8">
      <xdr:nvSpPr>
        <xdr:cNvPr id="3" name="CuadroTexto 2">
          <a:extLst>
            <a:ext uri="{FF2B5EF4-FFF2-40B4-BE49-F238E27FC236}">
              <a16:creationId xmlns:a16="http://schemas.microsoft.com/office/drawing/2014/main" id="{0D5DACA7-4763-422B-A40A-08AD48FAA136}"/>
            </a:ext>
          </a:extLst>
        </xdr:cNvPr>
        <xdr:cNvSpPr txBox="1"/>
      </xdr:nvSpPr>
      <xdr:spPr>
        <a:xfrm>
          <a:off x="8587740" y="7315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t>36375442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76200</xdr:colOff>
      <xdr:row>4</xdr:row>
      <xdr:rowOff>0</xdr:rowOff>
    </xdr:from>
    <xdr:to>
      <xdr:col>10</xdr:col>
      <xdr:colOff>381000</xdr:colOff>
      <xdr:row>6</xdr:row>
      <xdr:rowOff>137160</xdr:rowOff>
    </xdr:to>
    <xdr:sp macro="" textlink="'Ranking de Servicios'!D8">
      <xdr:nvSpPr>
        <xdr:cNvPr id="4" name="CuadroTexto 3">
          <a:extLst>
            <a:ext uri="{FF2B5EF4-FFF2-40B4-BE49-F238E27FC236}">
              <a16:creationId xmlns:a16="http://schemas.microsoft.com/office/drawing/2014/main" id="{1913509C-FE01-4796-8E19-5C453600F5ED}"/>
            </a:ext>
          </a:extLst>
        </xdr:cNvPr>
        <xdr:cNvSpPr txBox="1"/>
      </xdr:nvSpPr>
      <xdr:spPr>
        <a:xfrm>
          <a:off x="6416040" y="7315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t>Serv. Culturales Derecho Hab Publ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289560</xdr:colOff>
      <xdr:row>4</xdr:row>
      <xdr:rowOff>68580</xdr:rowOff>
    </xdr:from>
    <xdr:to>
      <xdr:col>11</xdr:col>
      <xdr:colOff>175260</xdr:colOff>
      <xdr:row>6</xdr:row>
      <xdr:rowOff>83820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D088F506-F6BE-ABE0-2CA3-FF5C384A37AA}"/>
            </a:ext>
          </a:extLst>
        </xdr:cNvPr>
        <xdr:cNvSpPr txBox="1"/>
      </xdr:nvSpPr>
      <xdr:spPr>
        <a:xfrm>
          <a:off x="8214360" y="80010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213360</xdr:colOff>
      <xdr:row>4</xdr:row>
      <xdr:rowOff>83820</xdr:rowOff>
    </xdr:from>
    <xdr:to>
      <xdr:col>5</xdr:col>
      <xdr:colOff>99060</xdr:colOff>
      <xdr:row>6</xdr:row>
      <xdr:rowOff>99060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29C074E2-799A-4044-AA88-C4E3A7151771}"/>
            </a:ext>
          </a:extLst>
        </xdr:cNvPr>
        <xdr:cNvSpPr txBox="1"/>
      </xdr:nvSpPr>
      <xdr:spPr>
        <a:xfrm>
          <a:off x="3383280" y="8153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220980</xdr:colOff>
      <xdr:row>13</xdr:row>
      <xdr:rowOff>114300</xdr:rowOff>
    </xdr:from>
    <xdr:to>
      <xdr:col>5</xdr:col>
      <xdr:colOff>106680</xdr:colOff>
      <xdr:row>15</xdr:row>
      <xdr:rowOff>129540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EBC9B4B8-B026-4F57-904A-9A3BB13F899B}"/>
            </a:ext>
          </a:extLst>
        </xdr:cNvPr>
        <xdr:cNvSpPr txBox="1"/>
      </xdr:nvSpPr>
      <xdr:spPr>
        <a:xfrm>
          <a:off x="3390900" y="24917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2.533347337965" createdVersion="8" refreshedVersion="8" minRefreshableVersion="3" recordCount="8" xr:uid="{71A40FA1-9934-4051-840D-BF1E7AA9F939}">
  <cacheSource type="worksheet">
    <worksheetSource name="Tabla3"/>
  </cacheSource>
  <cacheFields count="2">
    <cacheField name="Nombre Servicio" numFmtId="1">
      <sharedItems count="8">
        <s v="Serv. Culturales Derecho Hab Publ"/>
        <s v="Serv. Deportivos Derecho Hab Publ"/>
        <s v="Serv. Sociales Derecho Hab Publ"/>
        <s v="Serv. Funerarios Derecho Hab Publ"/>
        <s v="Serv. Sociales Pensionados Jubl"/>
        <s v="Fome Deportivo Pensionados Jubl"/>
        <s v="Serv. Culturales Pensionados Jubl"/>
        <s v="Soci Comedores Pensionados Jubl"/>
      </sharedItems>
    </cacheField>
    <cacheField name="Total de cada servicio" numFmtId="1">
      <sharedItems containsSemiMixedTypes="0" containsString="0" containsNumber="1" containsInteger="1" minValue="322484" maxValue="363754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36375442"/>
  </r>
  <r>
    <x v="1"/>
    <n v="11512451"/>
  </r>
  <r>
    <x v="2"/>
    <n v="661401"/>
  </r>
  <r>
    <x v="3"/>
    <n v="322484"/>
  </r>
  <r>
    <x v="4"/>
    <n v="2175717"/>
  </r>
  <r>
    <x v="5"/>
    <n v="1962313"/>
  </r>
  <r>
    <x v="6"/>
    <n v="3250887"/>
  </r>
  <r>
    <x v="7"/>
    <n v="654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1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4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5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1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1" rowHeaderCaption="Nombre Oficina Representación">
  <location ref="A6:I7" firstHeaderRow="0" firstDataRow="1" firstDataCol="1"/>
  <pivotFields count="12">
    <pivotField numFmtId="1" showAll="0"/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 rowHeaderCaption="Nombre Oficina Representación">
  <location ref="A9:B20" firstHeaderRow="1" firstDataRow="1" firstDataCol="1"/>
  <pivotFields count="12">
    <pivotField numFmtId="1" showAll="0"/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1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20FD5-92A0-48FE-8CAE-735B6AC6C5DD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B83" firstHeaderRow="1" firstDataRow="1" firstDataCol="1"/>
  <pivotFields count="12">
    <pivotField numFmtId="1" showAll="0"/>
    <pivotField axis="axisRow" showAll="0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dataField="1" numFmtId="1" showAll="0"/>
  </pivotFields>
  <rowFields count="1">
    <field x="1"/>
  </rowFields>
  <rowItems count="50">
    <i>
      <x v="33"/>
    </i>
    <i>
      <x v="32"/>
    </i>
    <i>
      <x v="34"/>
    </i>
    <i>
      <x v="35"/>
    </i>
    <i>
      <x v="11"/>
    </i>
    <i>
      <x v="10"/>
    </i>
    <i>
      <x v="44"/>
    </i>
    <i>
      <x v="3"/>
    </i>
    <i>
      <x v="2"/>
    </i>
    <i>
      <x v="4"/>
    </i>
    <i>
      <x/>
    </i>
    <i>
      <x v="31"/>
    </i>
    <i>
      <x v="18"/>
    </i>
    <i>
      <x v="37"/>
    </i>
    <i>
      <x v="13"/>
    </i>
    <i>
      <x v="40"/>
    </i>
    <i>
      <x v="6"/>
    </i>
    <i>
      <x v="30"/>
    </i>
    <i>
      <x v="38"/>
    </i>
    <i>
      <x v="39"/>
    </i>
    <i>
      <x v="46"/>
    </i>
    <i>
      <x v="17"/>
    </i>
    <i>
      <x v="12"/>
    </i>
    <i>
      <x v="41"/>
    </i>
    <i>
      <x v="9"/>
    </i>
    <i>
      <x v="42"/>
    </i>
    <i>
      <x v="15"/>
    </i>
    <i>
      <x v="29"/>
    </i>
    <i>
      <x v="25"/>
    </i>
    <i>
      <x v="24"/>
    </i>
    <i>
      <x v="23"/>
    </i>
    <i>
      <x v="14"/>
    </i>
    <i>
      <x v="20"/>
    </i>
    <i>
      <x v="21"/>
    </i>
    <i>
      <x v="45"/>
    </i>
    <i>
      <x v="43"/>
    </i>
    <i>
      <x v="7"/>
    </i>
    <i>
      <x v="16"/>
    </i>
    <i>
      <x v="5"/>
    </i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31237-FEAB-409D-B0B0-7D68E8795616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7:B16" firstHeaderRow="1" firstDataRow="1" firstDataCol="1"/>
  <pivotFields count="2">
    <pivotField axis="axisRow" showAll="0" sortType="descending">
      <items count="9">
        <item x="7"/>
        <item x="4"/>
        <item x="2"/>
        <item x="3"/>
        <item x="1"/>
        <item x="6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</pivotFields>
  <rowFields count="1">
    <field x="0"/>
  </rowFields>
  <rowItems count="9">
    <i>
      <x v="6"/>
    </i>
    <i>
      <x v="4"/>
    </i>
    <i>
      <x v="5"/>
    </i>
    <i>
      <x v="1"/>
    </i>
    <i>
      <x v="7"/>
    </i>
    <i>
      <x v="2"/>
    </i>
    <i>
      <x/>
    </i>
    <i>
      <x v="3"/>
    </i>
    <i t="grand">
      <x/>
    </i>
  </rowItems>
  <colItems count="1">
    <i/>
  </colItems>
  <dataFields count="1">
    <dataField name="Suma de Total de cada servicio" fld="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2"/>
    <tableColumn id="2" xr3:uid="{6015B546-CCE8-49F7-AD82-A56721BEB06D}" name="Oficina Representación"/>
    <tableColumn id="3" xr3:uid="{6C24FA5D-647C-4DF8-A6EA-66A6E6528CE5}" name="Serv. Culturales Derecho Hab Publ" dataDxfId="11"/>
    <tableColumn id="4" xr3:uid="{5625FA80-061B-464D-B123-C974C04DA294}" name="Serv. Deportivos Derecho Hab Publ" dataDxfId="10"/>
    <tableColumn id="5" xr3:uid="{24DE0E05-24AF-4FCC-9633-B84A75B97D9A}" name="Serv. Sociales Derecho Hab Publ" dataDxfId="9"/>
    <tableColumn id="6" xr3:uid="{2AC1C74A-7627-48C3-AC0B-15FBB8351EE0}" name="Serv. Funerarios Derecho Hab Publ" dataDxfId="8"/>
    <tableColumn id="7" xr3:uid="{3E1E2BD6-8333-4561-B9F1-248EFBB7920E}" name="Serv. Sociales Pensionados Jubl" dataDxfId="7"/>
    <tableColumn id="8" xr3:uid="{2AC1B96B-1C99-43AF-AFED-47F1F4C408FD}" name="Fome Deportivo Pensionados Jubl" dataDxfId="6"/>
    <tableColumn id="9" xr3:uid="{E70B6682-15CA-4E92-BD60-818587E36A59}" name="Serv. Culturales Pensionados Jubl" dataDxfId="5"/>
    <tableColumn id="10" xr3:uid="{08067B72-2814-4712-B380-BB03A667992C}" name="Soci Comedores Pensionados Jubl" dataDxfId="4"/>
    <tableColumn id="11" xr3:uid="{230A8DA6-C4FF-44BE-9A39-A60006ECF43E}" name="Fecha" dataDxfId="3"/>
    <tableColumn id="12" xr3:uid="{859920B6-B83D-4724-917B-E5C66D0C0364}" name="Suma de todos los Servicios" dataDxfId="2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3BA7B8-89FD-4590-985A-D669DB928326}" name="Tabla3" displayName="Tabla3" ref="B505:C513" totalsRowShown="0">
  <autoFilter ref="B505:C513" xr:uid="{943BA7B8-89FD-4590-985A-D669DB928326}"/>
  <tableColumns count="2">
    <tableColumn id="1" xr3:uid="{52308A83-3E58-4597-85E5-390E9550E560}" name="Nombre Servicio" dataDxfId="1"/>
    <tableColumn id="2" xr3:uid="{DDDD0592-6492-4A2A-BC52-9B55A82E2E0F}" name="Total de cada servici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L513"/>
  <sheetViews>
    <sheetView topLeftCell="A477" workbookViewId="0">
      <selection activeCell="B508" sqref="B508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6640625" style="2" customWidth="1"/>
    <col min="6" max="6" width="31.77734375" customWidth="1"/>
    <col min="7" max="7" width="29.6640625" style="2" customWidth="1"/>
    <col min="8" max="8" width="32.44140625" style="2" customWidth="1"/>
    <col min="9" max="9" width="31.33203125" style="2" customWidth="1"/>
    <col min="10" max="10" width="32.33203125" customWidth="1"/>
    <col min="11" max="11" width="10.5546875" style="1" bestFit="1" customWidth="1"/>
    <col min="12" max="12" width="26.55468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  <row r="496" spans="1:12" x14ac:dyDescent="0.3">
      <c r="F496" s="2"/>
      <c r="J496" s="2"/>
      <c r="L496" s="2"/>
    </row>
    <row r="497" spans="2:12" x14ac:dyDescent="0.3">
      <c r="F497" s="2"/>
      <c r="J497" s="2"/>
      <c r="L497" s="2"/>
    </row>
    <row r="498" spans="2:12" x14ac:dyDescent="0.3">
      <c r="C498" s="2" t="str">
        <f>Tabla1[[#Headers],[Serv. Culturales Derecho Hab Publ]]</f>
        <v>Serv. Culturales Derecho Hab Publ</v>
      </c>
      <c r="D498" s="2" t="str">
        <f>Tabla1[[#Headers],[Serv. Deportivos Derecho Hab Publ]]</f>
        <v>Serv. Deportivos Derecho Hab Publ</v>
      </c>
      <c r="E498" s="2" t="str">
        <f>Tabla1[[#Headers],[Serv. Sociales Derecho Hab Publ]]</f>
        <v>Serv. Sociales Derecho Hab Publ</v>
      </c>
      <c r="F498" s="2" t="str">
        <f>Tabla1[[#Headers],[Serv. Funerarios Derecho Hab Publ]]</f>
        <v>Serv. Funerarios Derecho Hab Publ</v>
      </c>
      <c r="G498" s="2" t="str">
        <f>Tabla1[[#Headers],[Serv. Sociales Pensionados Jubl]]</f>
        <v>Serv. Sociales Pensionados Jubl</v>
      </c>
      <c r="H498" s="2" t="str">
        <f>Tabla1[[#Headers],[Fome Deportivo Pensionados Jubl]]</f>
        <v>Fome Deportivo Pensionados Jubl</v>
      </c>
      <c r="I498" s="2" t="str">
        <f>Tabla1[[#Headers],[Serv. Culturales Pensionados Jubl]]</f>
        <v>Serv. Culturales Pensionados Jubl</v>
      </c>
      <c r="J498" s="2" t="str">
        <f>Tabla1[[#Headers],[Soci Comedores Pensionados Jubl]]</f>
        <v>Soci Comedores Pensionados Jubl</v>
      </c>
    </row>
    <row r="499" spans="2:12" x14ac:dyDescent="0.3">
      <c r="B499" t="s">
        <v>81</v>
      </c>
      <c r="C499" s="2">
        <f>SUM(Tabla1[Serv. Culturales Derecho Hab Publ])</f>
        <v>36375442</v>
      </c>
      <c r="D499" s="2">
        <f>SUM(Tabla1[Serv. Deportivos Derecho Hab Publ])</f>
        <v>11512451</v>
      </c>
      <c r="E499" s="2">
        <f>SUM(Tabla1[Serv. Sociales Derecho Hab Publ])</f>
        <v>661401</v>
      </c>
      <c r="F499" s="2">
        <f>SUM(Tabla1[Serv. Funerarios Derecho Hab Publ])</f>
        <v>322484</v>
      </c>
      <c r="G499" s="2">
        <f>SUM(Tabla1[Serv. Sociales Pensionados Jubl])</f>
        <v>2175717</v>
      </c>
      <c r="H499" s="2">
        <f>SUM(Tabla1[Fome Deportivo Pensionados Jubl])</f>
        <v>1962313</v>
      </c>
      <c r="I499" s="2">
        <f>SUM(Tabla1[Serv. Culturales Pensionados Jubl])</f>
        <v>3250887</v>
      </c>
      <c r="J499" s="2">
        <f>SUM(Tabla1[Soci Comedores Pensionados Jubl])</f>
        <v>654994</v>
      </c>
    </row>
    <row r="505" spans="2:12" x14ac:dyDescent="0.3">
      <c r="B505" t="s">
        <v>82</v>
      </c>
      <c r="C505" s="2" t="s">
        <v>83</v>
      </c>
    </row>
    <row r="506" spans="2:12" x14ac:dyDescent="0.3">
      <c r="B506" s="2" t="str">
        <f>Tabla1[[#Headers],[Serv. Culturales Derecho Hab Publ]]</f>
        <v>Serv. Culturales Derecho Hab Publ</v>
      </c>
      <c r="C506" s="2">
        <f>SUM(Tabla1[Serv. Culturales Derecho Hab Publ])</f>
        <v>36375442</v>
      </c>
    </row>
    <row r="507" spans="2:12" x14ac:dyDescent="0.3">
      <c r="B507" s="2" t="str">
        <f>Tabla1[[#Headers],[Serv. Deportivos Derecho Hab Publ]]</f>
        <v>Serv. Deportivos Derecho Hab Publ</v>
      </c>
      <c r="C507" s="2">
        <f>SUM(Tabla1[Serv. Deportivos Derecho Hab Publ])</f>
        <v>11512451</v>
      </c>
    </row>
    <row r="508" spans="2:12" x14ac:dyDescent="0.3">
      <c r="B508" s="2" t="str">
        <f>Tabla1[[#Headers],[Serv. Sociales Derecho Hab Publ]]</f>
        <v>Serv. Sociales Derecho Hab Publ</v>
      </c>
      <c r="C508" s="2">
        <f>SUM(Tabla1[Serv. Sociales Derecho Hab Publ])</f>
        <v>661401</v>
      </c>
    </row>
    <row r="509" spans="2:12" x14ac:dyDescent="0.3">
      <c r="B509" s="2" t="str">
        <f>Tabla1[[#Headers],[Serv. Funerarios Derecho Hab Publ]]</f>
        <v>Serv. Funerarios Derecho Hab Publ</v>
      </c>
      <c r="C509" s="2">
        <f>SUM(Tabla1[Serv. Funerarios Derecho Hab Publ])</f>
        <v>322484</v>
      </c>
    </row>
    <row r="510" spans="2:12" x14ac:dyDescent="0.3">
      <c r="B510" s="2" t="str">
        <f>Tabla1[[#Headers],[Serv. Sociales Pensionados Jubl]]</f>
        <v>Serv. Sociales Pensionados Jubl</v>
      </c>
      <c r="C510" s="2">
        <f>SUM(Tabla1[Serv. Sociales Pensionados Jubl])</f>
        <v>2175717</v>
      </c>
    </row>
    <row r="511" spans="2:12" x14ac:dyDescent="0.3">
      <c r="B511" s="2" t="str">
        <f>Tabla1[[#Headers],[Fome Deportivo Pensionados Jubl]]</f>
        <v>Fome Deportivo Pensionados Jubl</v>
      </c>
      <c r="C511" s="2">
        <f>SUM(Tabla1[Fome Deportivo Pensionados Jubl])</f>
        <v>1962313</v>
      </c>
    </row>
    <row r="512" spans="2:12" x14ac:dyDescent="0.3">
      <c r="B512" s="2" t="str">
        <f>Tabla1[[#Headers],[Serv. Culturales Pensionados Jubl]]</f>
        <v>Serv. Culturales Pensionados Jubl</v>
      </c>
      <c r="C512" s="2">
        <f>SUM(Tabla1[Serv. Culturales Pensionados Jubl])</f>
        <v>3250887</v>
      </c>
    </row>
    <row r="513" spans="2:3" x14ac:dyDescent="0.3">
      <c r="B513" s="2" t="str">
        <f>Tabla1[[#Headers],[Soci Comedores Pensionados Jubl]]</f>
        <v>Soci Comedores Pensionados Jubl</v>
      </c>
      <c r="C513" s="2">
        <f>SUM(Tabla1[Soci Comedores Pensionados Jubl])</f>
        <v>654994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workbookViewId="0">
      <selection activeCell="I13" sqref="I13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6" t="s">
        <v>73</v>
      </c>
      <c r="B2" s="6"/>
      <c r="C2" s="6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6" t="s">
        <v>74</v>
      </c>
      <c r="C25" s="6"/>
      <c r="D25" s="6"/>
      <c r="E25" s="6"/>
      <c r="F25" s="6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workbookViewId="0">
      <selection activeCell="A60" sqref="A60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6" t="s">
        <v>75</v>
      </c>
      <c r="B2" s="6"/>
      <c r="C2" s="6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6" t="s">
        <v>76</v>
      </c>
      <c r="C60" s="6"/>
      <c r="D60" s="6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83"/>
  <sheetViews>
    <sheetView showGridLines="0" topLeftCell="A7" workbookViewId="0">
      <selection activeCell="A29" sqref="A29"/>
    </sheetView>
  </sheetViews>
  <sheetFormatPr baseColWidth="10" defaultRowHeight="14.4" x14ac:dyDescent="0.3"/>
  <cols>
    <col min="1" max="1" width="21" bestFit="1" customWidth="1"/>
    <col min="2" max="2" width="32.3320312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6" t="s">
        <v>78</v>
      </c>
      <c r="C2" s="6"/>
      <c r="D2" s="6"/>
      <c r="E2" s="6"/>
      <c r="F2" s="6"/>
      <c r="G2" s="6"/>
    </row>
    <row r="6" spans="1:10" x14ac:dyDescent="0.3">
      <c r="F6" s="6" t="s">
        <v>77</v>
      </c>
      <c r="G6" s="6"/>
      <c r="H6" s="6"/>
      <c r="I6" s="6"/>
      <c r="J6" s="6"/>
    </row>
    <row r="7" spans="1:10" x14ac:dyDescent="0.3">
      <c r="F7" s="6"/>
      <c r="G7" s="6"/>
      <c r="H7" s="6"/>
      <c r="I7" s="6"/>
      <c r="J7" s="6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  <row r="28" spans="1:2" x14ac:dyDescent="0.3">
      <c r="A28" t="str">
        <f>A19</f>
        <v>Oficinas Centrales</v>
      </c>
      <c r="B28">
        <f>GETPIVOTDATA("Suma de todos los Servicios",$A$9,"Oficina Representación","Oficinas Centrales")</f>
        <v>12806883</v>
      </c>
    </row>
    <row r="33" spans="1:5" x14ac:dyDescent="0.3">
      <c r="A33" s="3" t="s">
        <v>79</v>
      </c>
      <c r="B33" t="s">
        <v>80</v>
      </c>
    </row>
    <row r="34" spans="1:5" x14ac:dyDescent="0.3">
      <c r="A34" s="5" t="s">
        <v>29</v>
      </c>
      <c r="B34" s="2">
        <v>55249</v>
      </c>
      <c r="D34" t="str">
        <f>A34</f>
        <v>Regional Oriente</v>
      </c>
      <c r="E34">
        <f>GETPIVOTDATA("Suma de todos los Servicios",$A$33,"Oficina Representación","Regional Oriente")</f>
        <v>55249</v>
      </c>
    </row>
    <row r="35" spans="1:5" x14ac:dyDescent="0.3">
      <c r="A35" s="5" t="s">
        <v>27</v>
      </c>
      <c r="B35" s="2">
        <v>110312</v>
      </c>
    </row>
    <row r="36" spans="1:5" x14ac:dyDescent="0.3">
      <c r="A36" s="5" t="s">
        <v>30</v>
      </c>
      <c r="B36" s="2">
        <v>139866</v>
      </c>
    </row>
    <row r="37" spans="1:5" x14ac:dyDescent="0.3">
      <c r="A37" s="5" t="s">
        <v>28</v>
      </c>
      <c r="B37" s="2">
        <v>172802</v>
      </c>
    </row>
    <row r="38" spans="1:5" x14ac:dyDescent="0.3">
      <c r="A38" s="5" t="s">
        <v>25</v>
      </c>
      <c r="B38" s="2">
        <v>236848</v>
      </c>
    </row>
    <row r="39" spans="1:5" x14ac:dyDescent="0.3">
      <c r="A39" s="5" t="s">
        <v>31</v>
      </c>
      <c r="B39" s="2">
        <v>330258</v>
      </c>
    </row>
    <row r="40" spans="1:5" x14ac:dyDescent="0.3">
      <c r="A40" s="5" t="s">
        <v>20</v>
      </c>
      <c r="B40" s="2">
        <v>367601</v>
      </c>
    </row>
    <row r="41" spans="1:5" x14ac:dyDescent="0.3">
      <c r="A41" s="5" t="s">
        <v>32</v>
      </c>
      <c r="B41" s="2">
        <v>379617</v>
      </c>
    </row>
    <row r="42" spans="1:5" x14ac:dyDescent="0.3">
      <c r="A42" s="5" t="s">
        <v>1</v>
      </c>
      <c r="B42" s="2">
        <v>388326</v>
      </c>
    </row>
    <row r="43" spans="1:5" x14ac:dyDescent="0.3">
      <c r="A43" s="5" t="s">
        <v>33</v>
      </c>
      <c r="B43" s="2">
        <v>454525</v>
      </c>
    </row>
    <row r="44" spans="1:5" x14ac:dyDescent="0.3">
      <c r="A44" s="5" t="s">
        <v>0</v>
      </c>
      <c r="B44" s="2">
        <v>464037</v>
      </c>
    </row>
    <row r="45" spans="1:5" x14ac:dyDescent="0.3">
      <c r="A45" s="5" t="s">
        <v>16</v>
      </c>
      <c r="B45" s="2">
        <v>514526</v>
      </c>
    </row>
    <row r="46" spans="1:5" x14ac:dyDescent="0.3">
      <c r="A46" s="5" t="s">
        <v>9</v>
      </c>
      <c r="B46" s="2">
        <v>541003</v>
      </c>
    </row>
    <row r="47" spans="1:5" x14ac:dyDescent="0.3">
      <c r="A47" s="5" t="s">
        <v>17</v>
      </c>
      <c r="B47" s="2">
        <v>604570</v>
      </c>
    </row>
    <row r="48" spans="1:5" x14ac:dyDescent="0.3">
      <c r="A48" s="5" t="s">
        <v>54</v>
      </c>
      <c r="B48" s="2">
        <v>624538</v>
      </c>
    </row>
    <row r="49" spans="1:2" x14ac:dyDescent="0.3">
      <c r="A49" s="5" t="s">
        <v>58</v>
      </c>
      <c r="B49" s="2">
        <v>630996</v>
      </c>
    </row>
    <row r="50" spans="1:2" x14ac:dyDescent="0.3">
      <c r="A50" s="5" t="s">
        <v>5</v>
      </c>
      <c r="B50" s="2">
        <v>705652</v>
      </c>
    </row>
    <row r="51" spans="1:2" x14ac:dyDescent="0.3">
      <c r="A51" s="5" t="s">
        <v>49</v>
      </c>
      <c r="B51" s="2">
        <v>721599</v>
      </c>
    </row>
    <row r="52" spans="1:2" x14ac:dyDescent="0.3">
      <c r="A52" s="5" t="s">
        <v>18</v>
      </c>
      <c r="B52" s="2">
        <v>749396</v>
      </c>
    </row>
    <row r="53" spans="1:2" x14ac:dyDescent="0.3">
      <c r="A53" s="5" t="s">
        <v>56</v>
      </c>
      <c r="B53" s="2">
        <v>792076</v>
      </c>
    </row>
    <row r="54" spans="1:2" x14ac:dyDescent="0.3">
      <c r="A54" s="5" t="s">
        <v>22</v>
      </c>
      <c r="B54" s="2">
        <v>806518</v>
      </c>
    </row>
    <row r="55" spans="1:2" x14ac:dyDescent="0.3">
      <c r="A55" s="5" t="s">
        <v>8</v>
      </c>
      <c r="B55" s="2">
        <v>833184</v>
      </c>
    </row>
    <row r="56" spans="1:2" x14ac:dyDescent="0.3">
      <c r="A56" s="5" t="s">
        <v>52</v>
      </c>
      <c r="B56" s="2">
        <v>858610</v>
      </c>
    </row>
    <row r="57" spans="1:2" x14ac:dyDescent="0.3">
      <c r="A57" s="5" t="s">
        <v>59</v>
      </c>
      <c r="B57" s="2">
        <v>888123</v>
      </c>
    </row>
    <row r="58" spans="1:2" x14ac:dyDescent="0.3">
      <c r="A58" s="5" t="s">
        <v>4</v>
      </c>
      <c r="B58" s="2">
        <v>904262</v>
      </c>
    </row>
    <row r="59" spans="1:2" x14ac:dyDescent="0.3">
      <c r="A59" s="5" t="s">
        <v>57</v>
      </c>
      <c r="B59" s="2">
        <v>908129</v>
      </c>
    </row>
    <row r="60" spans="1:2" x14ac:dyDescent="0.3">
      <c r="A60" s="5" t="s">
        <v>53</v>
      </c>
      <c r="B60" s="2">
        <v>918381</v>
      </c>
    </row>
    <row r="61" spans="1:2" x14ac:dyDescent="0.3">
      <c r="A61" s="5" t="s">
        <v>15</v>
      </c>
      <c r="B61" s="2">
        <v>937351</v>
      </c>
    </row>
    <row r="62" spans="1:2" x14ac:dyDescent="0.3">
      <c r="A62" s="5" t="s">
        <v>13</v>
      </c>
      <c r="B62" s="2">
        <v>944130</v>
      </c>
    </row>
    <row r="63" spans="1:2" x14ac:dyDescent="0.3">
      <c r="A63" s="5" t="s">
        <v>12</v>
      </c>
      <c r="B63" s="2">
        <v>960342</v>
      </c>
    </row>
    <row r="64" spans="1:2" x14ac:dyDescent="0.3">
      <c r="A64" s="5" t="s">
        <v>47</v>
      </c>
      <c r="B64" s="2">
        <v>991542</v>
      </c>
    </row>
    <row r="65" spans="1:2" x14ac:dyDescent="0.3">
      <c r="A65" s="5" t="s">
        <v>55</v>
      </c>
      <c r="B65" s="2">
        <v>993249</v>
      </c>
    </row>
    <row r="66" spans="1:2" x14ac:dyDescent="0.3">
      <c r="A66" s="5" t="s">
        <v>26</v>
      </c>
      <c r="B66" s="2">
        <v>993584</v>
      </c>
    </row>
    <row r="67" spans="1:2" x14ac:dyDescent="0.3">
      <c r="A67" s="5" t="s">
        <v>11</v>
      </c>
      <c r="B67" s="2">
        <v>996808</v>
      </c>
    </row>
    <row r="68" spans="1:2" x14ac:dyDescent="0.3">
      <c r="A68" s="5" t="s">
        <v>21</v>
      </c>
      <c r="B68" s="2">
        <v>1004872</v>
      </c>
    </row>
    <row r="69" spans="1:2" x14ac:dyDescent="0.3">
      <c r="A69" s="5" t="s">
        <v>19</v>
      </c>
      <c r="B69" s="2">
        <v>1009606</v>
      </c>
    </row>
    <row r="70" spans="1:2" x14ac:dyDescent="0.3">
      <c r="A70" s="5" t="s">
        <v>6</v>
      </c>
      <c r="B70" s="2">
        <v>1061964</v>
      </c>
    </row>
    <row r="71" spans="1:2" x14ac:dyDescent="0.3">
      <c r="A71" s="5" t="s">
        <v>7</v>
      </c>
      <c r="B71" s="2">
        <v>1118233</v>
      </c>
    </row>
    <row r="72" spans="1:2" x14ac:dyDescent="0.3">
      <c r="A72" s="5" t="s">
        <v>2</v>
      </c>
      <c r="B72" s="2">
        <v>1147088</v>
      </c>
    </row>
    <row r="73" spans="1:2" x14ac:dyDescent="0.3">
      <c r="A73" s="5" t="s">
        <v>48</v>
      </c>
      <c r="B73" s="2">
        <v>1151362</v>
      </c>
    </row>
    <row r="74" spans="1:2" x14ac:dyDescent="0.3">
      <c r="A74" s="5" t="s">
        <v>3</v>
      </c>
      <c r="B74" s="2">
        <v>1329318</v>
      </c>
    </row>
    <row r="75" spans="1:2" x14ac:dyDescent="0.3">
      <c r="A75" s="5" t="s">
        <v>10</v>
      </c>
      <c r="B75" s="2">
        <v>1396246</v>
      </c>
    </row>
    <row r="76" spans="1:2" x14ac:dyDescent="0.3">
      <c r="A76" s="5" t="s">
        <v>51</v>
      </c>
      <c r="B76" s="2">
        <v>1544155</v>
      </c>
    </row>
    <row r="77" spans="1:2" x14ac:dyDescent="0.3">
      <c r="A77" s="5" t="s">
        <v>23</v>
      </c>
      <c r="B77" s="2">
        <v>1700361</v>
      </c>
    </row>
    <row r="78" spans="1:2" x14ac:dyDescent="0.3">
      <c r="A78" s="5" t="s">
        <v>46</v>
      </c>
      <c r="B78" s="2">
        <v>1853200</v>
      </c>
    </row>
    <row r="79" spans="1:2" x14ac:dyDescent="0.3">
      <c r="A79" s="5" t="s">
        <v>50</v>
      </c>
      <c r="B79" s="2">
        <v>2141268</v>
      </c>
    </row>
    <row r="80" spans="1:2" x14ac:dyDescent="0.3">
      <c r="A80" s="5" t="s">
        <v>14</v>
      </c>
      <c r="B80" s="2">
        <v>2824608</v>
      </c>
    </row>
    <row r="81" spans="1:2" x14ac:dyDescent="0.3">
      <c r="A81" s="5" t="s">
        <v>45</v>
      </c>
      <c r="B81" s="2">
        <v>2908515</v>
      </c>
    </row>
    <row r="82" spans="1:2" x14ac:dyDescent="0.3">
      <c r="A82" s="5" t="s">
        <v>24</v>
      </c>
      <c r="B82" s="2">
        <v>12806883</v>
      </c>
    </row>
    <row r="83" spans="1:2" x14ac:dyDescent="0.3">
      <c r="A83" s="5" t="s">
        <v>60</v>
      </c>
      <c r="B83" s="2">
        <v>56915689</v>
      </c>
    </row>
  </sheetData>
  <mergeCells count="2">
    <mergeCell ref="F6:J7"/>
    <mergeCell ref="B2:G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D455-FE5D-4DB9-B672-24C684C812DC}">
  <dimension ref="A7:E16"/>
  <sheetViews>
    <sheetView workbookViewId="0">
      <selection activeCell="C11" sqref="C11"/>
    </sheetView>
  </sheetViews>
  <sheetFormatPr baseColWidth="10" defaultColWidth="15.109375" defaultRowHeight="14.4" x14ac:dyDescent="0.3"/>
  <cols>
    <col min="1" max="1" width="29.5546875" bestFit="1" customWidth="1"/>
    <col min="2" max="2" width="27.109375" bestFit="1" customWidth="1"/>
  </cols>
  <sheetData>
    <row r="7" spans="1:5" x14ac:dyDescent="0.3">
      <c r="A7" s="3" t="s">
        <v>79</v>
      </c>
      <c r="B7" t="s">
        <v>84</v>
      </c>
    </row>
    <row r="8" spans="1:5" x14ac:dyDescent="0.3">
      <c r="A8" s="5" t="s">
        <v>36</v>
      </c>
      <c r="B8" s="2">
        <v>36375442</v>
      </c>
      <c r="D8" t="str">
        <f>A8</f>
        <v>Serv. Culturales Derecho Hab Publ</v>
      </c>
      <c r="E8">
        <f>GETPIVOTDATA("Total de cada servicio",$A$7,"Nombre Servicio","Serv. Culturales Derecho Hab Publ")</f>
        <v>36375442</v>
      </c>
    </row>
    <row r="9" spans="1:5" x14ac:dyDescent="0.3">
      <c r="A9" s="5" t="s">
        <v>37</v>
      </c>
      <c r="B9" s="2">
        <v>11512451</v>
      </c>
    </row>
    <row r="10" spans="1:5" x14ac:dyDescent="0.3">
      <c r="A10" s="5" t="s">
        <v>42</v>
      </c>
      <c r="B10" s="2">
        <v>3250887</v>
      </c>
    </row>
    <row r="11" spans="1:5" x14ac:dyDescent="0.3">
      <c r="A11" s="5" t="s">
        <v>40</v>
      </c>
      <c r="B11" s="2">
        <v>2175717</v>
      </c>
    </row>
    <row r="12" spans="1:5" x14ac:dyDescent="0.3">
      <c r="A12" s="5" t="s">
        <v>41</v>
      </c>
      <c r="B12" s="2">
        <v>1962313</v>
      </c>
    </row>
    <row r="13" spans="1:5" x14ac:dyDescent="0.3">
      <c r="A13" s="5" t="s">
        <v>38</v>
      </c>
      <c r="B13" s="2">
        <v>661401</v>
      </c>
    </row>
    <row r="14" spans="1:5" x14ac:dyDescent="0.3">
      <c r="A14" s="5" t="s">
        <v>43</v>
      </c>
      <c r="B14" s="2">
        <v>654994</v>
      </c>
    </row>
    <row r="15" spans="1:5" x14ac:dyDescent="0.3">
      <c r="A15" s="5" t="s">
        <v>39</v>
      </c>
      <c r="B15" s="2">
        <v>322484</v>
      </c>
    </row>
    <row r="16" spans="1:5" x14ac:dyDescent="0.3">
      <c r="A16" s="5" t="s">
        <v>60</v>
      </c>
      <c r="B16" s="2">
        <v>56915689</v>
      </c>
      <c r="E16">
        <f>GETPIVOTDATA("Total de cada servicio",$A$7)</f>
        <v>56915689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A35B-1DEE-4E63-B176-45BEFEC88566}">
  <dimension ref="A1"/>
  <sheetViews>
    <sheetView tabSelected="1" workbookViewId="0">
      <selection activeCell="Q15" sqref="Q15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servicios_cult_soc_dep_rec_isss</vt:lpstr>
      <vt:lpstr>Servios deportivos por año</vt:lpstr>
      <vt:lpstr>Comp entre cul vs dep vs soc</vt:lpstr>
      <vt:lpstr>Ranking de delegaciones</vt:lpstr>
      <vt:lpstr>Ranking de Servicios</vt:lpstr>
      <vt:lpstr>KPI's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2025-11-21T19:09:57Z</dcterms:modified>
</cp:coreProperties>
</file>